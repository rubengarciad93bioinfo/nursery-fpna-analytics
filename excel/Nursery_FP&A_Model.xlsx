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Monthly Performance" sheetId="2" r:id="rId2"/>
    <sheet name="Budget vs Forecast" sheetId="3" r:id="rId3"/>
    <sheet name="CAPEX" sheetId="4" r:id="rId4"/>
    <sheet name="Assumptions" sheetId="5" r:id="rId5"/>
    <sheet name="Raw_Monthly" sheetId="6" r:id="rId6"/>
    <sheet name="Raw_CAPEX" sheetId="7" r:id="rId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1" authorId="0">
      <text>
        <r>
          <rPr>
            <sz val="8"/>
            <color indexed="81"/>
            <rFont val="Tahoma"/>
            <family val="2"/>
          </rPr>
          <t>This section demonstrates a lookup-driven assumption retrieval using INDEX/MATCH. Change the selected country in B13.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P3" authorId="0">
      <text>
        <r>
          <rPr>
            <sz val="8"/>
            <color indexed="81"/>
            <rFont val="Tahoma"/>
            <family val="2"/>
          </rPr>
          <t>External market driver sourced from FAOSTAT. See README/source documentation.</t>
        </r>
      </text>
    </comment>
    <comment ref="Q3" authorId="0">
      <text>
        <r>
          <rPr>
            <sz val="8"/>
            <color indexed="81"/>
            <rFont val="Tahoma"/>
            <family val="2"/>
          </rPr>
          <t>External market driver sourced from FAOSTAT. See README/source documentation.</t>
        </r>
      </text>
    </comment>
    <comment ref="R3" authorId="0">
      <text>
        <r>
          <rPr>
            <sz val="8"/>
            <color indexed="81"/>
            <rFont val="Tahoma"/>
            <family val="2"/>
          </rPr>
          <t>External market driver sourced from FAOSTAT. See README/source documentation.</t>
        </r>
      </text>
    </comment>
  </commentList>
</comments>
</file>

<file path=xl/sharedStrings.xml><?xml version="1.0" encoding="utf-8"?>
<sst xmlns="http://schemas.openxmlformats.org/spreadsheetml/2006/main" count="748" uniqueCount="118">
  <si>
    <t>Source: FAOSTAT Production Crops and Livestock (external market drivers). Company financials and seasonality are modeled assumptions.</t>
  </si>
  <si>
    <t>FAOSTAT source</t>
  </si>
  <si>
    <t>Date</t>
  </si>
  <si>
    <t>Year</t>
  </si>
  <si>
    <t>Month_Num</t>
  </si>
  <si>
    <t>Month</t>
  </si>
  <si>
    <t>Country</t>
  </si>
  <si>
    <t>Scenario</t>
  </si>
  <si>
    <t>Units_Sold</t>
  </si>
  <si>
    <t>Price_per_Plant</t>
  </si>
  <si>
    <t>Revenue</t>
  </si>
  <si>
    <t>COGS</t>
  </si>
  <si>
    <t>Gross_Profit</t>
  </si>
  <si>
    <t>Gross_Margin_pct</t>
  </si>
  <si>
    <t>Operating_Expenses</t>
  </si>
  <si>
    <t>EBITDA</t>
  </si>
  <si>
    <t>EBITDA_Margin_pct</t>
  </si>
  <si>
    <t>Market_Area_Harvested_ha</t>
  </si>
  <si>
    <t>Market_Production_t</t>
  </si>
  <si>
    <t>Market_Yield_kg_ha</t>
  </si>
  <si>
    <t>Budget_Revenue</t>
  </si>
  <si>
    <t>Budget_EBITDA</t>
  </si>
  <si>
    <t>Budget_Units_Sold</t>
  </si>
  <si>
    <t>Revenue_Variance_vs_Budget</t>
  </si>
  <si>
    <t>Revenue_Variance_vs_Budget_pct</t>
  </si>
  <si>
    <t>EBITDA_Variance_vs_Budget</t>
  </si>
  <si>
    <t>EBITDA_Variance_vs_Budget_pct</t>
  </si>
  <si>
    <t>Units_Variance_vs_Budget_pct</t>
  </si>
  <si>
    <t>Jan</t>
  </si>
  <si>
    <t>Chile</t>
  </si>
  <si>
    <t>Actual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</si>
  <si>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</si>
  <si>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</si>
  <si>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</si>
  <si>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</si>
  <si>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</si>
  <si>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</si>
  <si>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</si>
  <si>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</si>
  <si>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</si>
  <si>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</si>
  <si>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</si>
  <si>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Mexico</t>
  </si>
  <si>
    <t>Peru</t>
  </si>
  <si>
    <t>Spain</t>
  </si>
  <si>
    <t>Budget</t>
  </si>
  <si>
    <t>Forecast</t>
  </si>
  <si>
    <t>Synthetic CAPEX scenarios for portfolio demonstration. These figures do not represent Fall Creek or any other company.</t>
  </si>
  <si>
    <t>Initial_Investment</t>
  </si>
  <si>
    <t>Discount_Rate_pct</t>
  </si>
  <si>
    <t>NPV</t>
  </si>
  <si>
    <t>IRR_pct</t>
  </si>
  <si>
    <t>Payback_Years</t>
  </si>
  <si>
    <t>Downside</t>
  </si>
  <si>
    <t>Base</t>
  </si>
  <si>
    <t>Upside</t>
  </si>
  <si>
    <t>Units</t>
  </si>
  <si>
    <t>Variable_Cost_per_Plant</t>
  </si>
  <si>
    <t>Incremental_Revenue</t>
  </si>
  <si>
    <t>Incremental_Variable_Cost</t>
  </si>
  <si>
    <t>Incremental_Fixed_OPEX</t>
  </si>
  <si>
    <t>Terminal_Value</t>
  </si>
  <si>
    <t>Net_Cash_Flow</t>
  </si>
  <si>
    <t>Model Assumptions</t>
  </si>
  <si>
    <t>Blue font = hardcoded/model inputs. Financial company assumptions are synthetic; market drivers originate from FAOSTAT.</t>
  </si>
  <si>
    <t>Market Share</t>
  </si>
  <si>
    <t>Plants / ha</t>
  </si>
  <si>
    <t>Replacement Rate</t>
  </si>
  <si>
    <t>Price / Plant ($)</t>
  </si>
  <si>
    <t>Variable Cost / Plant ($)</t>
  </si>
  <si>
    <t>Annual OPEX ($)</t>
  </si>
  <si>
    <t>Budget Growth</t>
  </si>
  <si>
    <t>Forecast Adjustment</t>
  </si>
  <si>
    <t>Assumption Lookup (editable)</t>
  </si>
  <si>
    <t>Selected Country</t>
  </si>
  <si>
    <t>Price / Plant</t>
  </si>
  <si>
    <t>Annual OPEX</t>
  </si>
  <si>
    <t>Monthly Seasonality Assumptions</t>
  </si>
  <si>
    <t>Sales_Weight</t>
  </si>
  <si>
    <t>2025 Budget vs Forecast</t>
  </si>
  <si>
    <t>Regional variance analysis. Green font indicates formulas linked to source data on another worksheet.</t>
  </si>
  <si>
    <t>Budget Revenue ($)</t>
  </si>
  <si>
    <t>Forecast Revenue ($)</t>
  </si>
  <si>
    <t>Revenue Var ($)</t>
  </si>
  <si>
    <t>Revenue Var (%)</t>
  </si>
  <si>
    <t>Budget EBITDA ($)</t>
  </si>
  <si>
    <t>Forecast EBITDA ($)</t>
  </si>
  <si>
    <t>EBITDA Var ($)</t>
  </si>
  <si>
    <t>EBITDA Var (%)</t>
  </si>
  <si>
    <t>Total</t>
  </si>
  <si>
    <t>2025 Monthly Performance</t>
  </si>
  <si>
    <t>Monthly Budget vs Forecast reporting using the modeled regional seasonality assumptions.</t>
  </si>
  <si>
    <t>CAPEX Decision Support</t>
  </si>
  <si>
    <t>Potential Peru nursery capacity expansion. NPV and IRR are calculated from scenario cash flows in this workbook.</t>
  </si>
  <si>
    <t>Initial Investment ($)</t>
  </si>
  <si>
    <t>Discount Rate</t>
  </si>
  <si>
    <t>NPV ($)</t>
  </si>
  <si>
    <t>IRR</t>
  </si>
  <si>
    <t>Payback (Years)</t>
  </si>
  <si>
    <t>Scenario Cash Flows and Formula Check</t>
  </si>
  <si>
    <t>Year 0</t>
  </si>
  <si>
    <t>Year 1</t>
  </si>
  <si>
    <t>Year 2</t>
  </si>
  <si>
    <t>Year 3</t>
  </si>
  <si>
    <t>Year 4</t>
  </si>
  <si>
    <t>Year 5</t>
  </si>
  <si>
    <t>Base case recommendation: proceed, subject to operational validation. The modeled investment produces NPV of $218,046, IRR of 18.0% versus a 10.0% discount rate, with payback in approximately 3.6 years. The downside case should be monitored because it captures demand and cost risk.</t>
  </si>
  <si>
    <t>Nursery FP&amp;A Analytics — Executive Summary</t>
  </si>
  <si>
    <t>Portfolio case study using public blueberry market data as external drivers and transparent modeled financial assumptions.</t>
  </si>
  <si>
    <t>Forecast Revenue</t>
  </si>
  <si>
    <t>Revenue vs Budget</t>
  </si>
  <si>
    <t>Forecast EBITDA</t>
  </si>
  <si>
    <t>EBITDA vs Budget</t>
  </si>
  <si>
    <t>Forecast Gross Margin</t>
  </si>
  <si>
    <t>Forecast EBITDA Margin</t>
  </si>
  <si>
    <t>2025 forecast revenue is +3.0% vs budget and EBITDA is +6.7% vs budget. Peru is the strongest regional revenue performer (+9.1% vs budget), while Chile is the main downside (-6.9%). Management focus: protect margin in weaker regions, validate the Peru growth assumptions, and use the CAPEX sensitivity analysis before committing expansion capital.</t>
  </si>
  <si>
    <t>Regional Snapshot</t>
  </si>
  <si>
    <t>Status</t>
  </si>
</sst>
</file>

<file path=xl/styles.xml><?xml version="1.0" encoding="utf-8"?>
<styleSheet xmlns="http://schemas.openxmlformats.org/spreadsheetml/2006/main">
  <numFmts count="6">
    <numFmt numFmtId="164" formatCode="$#,##0;[Red]($#,##0);-"/>
    <numFmt numFmtId="165" formatCode="0.0%;[Red](0.0%);-"/>
    <numFmt numFmtId="166" formatCode="#,##0.0;[Red](#,##0.0);-"/>
    <numFmt numFmtId="167" formatCode="#,##0;[Red](#,##0);-"/>
    <numFmt numFmtId="168" formatCode="$0.00;[Red]($0.00);-"/>
    <numFmt numFmtId="169" formatCode="yyyy-mm-dd"/>
  </numFmts>
  <fonts count="1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008000"/>
      <name val="Calibri"/>
      <family val="2"/>
      <scheme val="minor"/>
    </font>
    <font>
      <sz val="10"/>
      <color rgb="FF222222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333333"/>
      <name val="Calibri"/>
      <family val="2"/>
      <scheme val="minor"/>
    </font>
    <font>
      <i/>
      <sz val="9"/>
      <color rgb="FF666666"/>
      <name val="Calibri"/>
      <family val="2"/>
      <scheme val="minor"/>
    </font>
    <font>
      <u/>
      <sz val="11"/>
      <color theme="10"/>
      <name val="Calibri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165" fontId="6" fillId="0" borderId="0" xfId="0" applyNumberFormat="1" applyFont="1"/>
    <xf numFmtId="0" fontId="7" fillId="0" borderId="0" xfId="0" applyFont="1"/>
    <xf numFmtId="164" fontId="6" fillId="0" borderId="0" xfId="0" applyNumberFormat="1" applyFont="1"/>
    <xf numFmtId="165" fontId="7" fillId="0" borderId="0" xfId="0" applyNumberFormat="1" applyFont="1"/>
    <xf numFmtId="0" fontId="8" fillId="0" borderId="2" xfId="0" applyFont="1" applyBorder="1"/>
    <xf numFmtId="164" fontId="8" fillId="0" borderId="2" xfId="0" applyNumberFormat="1" applyFont="1" applyBorder="1"/>
    <xf numFmtId="165" fontId="8" fillId="0" borderId="2" xfId="0" applyNumberFormat="1" applyFont="1" applyBorder="1"/>
    <xf numFmtId="164" fontId="7" fillId="0" borderId="0" xfId="0" applyNumberFormat="1" applyFont="1"/>
    <xf numFmtId="166" fontId="7" fillId="0" borderId="0" xfId="0" applyNumberFormat="1" applyFont="1"/>
    <xf numFmtId="0" fontId="9" fillId="0" borderId="0" xfId="0" applyFont="1"/>
    <xf numFmtId="165" fontId="9" fillId="0" borderId="0" xfId="0" applyNumberFormat="1" applyFont="1"/>
    <xf numFmtId="167" fontId="9" fillId="0" borderId="0" xfId="0" applyNumberFormat="1" applyFont="1"/>
    <xf numFmtId="168" fontId="9" fillId="0" borderId="0" xfId="0" applyNumberFormat="1" applyFont="1"/>
    <xf numFmtId="164" fontId="9" fillId="0" borderId="0" xfId="0" applyNumberFormat="1" applyFont="1"/>
    <xf numFmtId="0" fontId="10" fillId="0" borderId="0" xfId="0" applyFont="1"/>
    <xf numFmtId="0" fontId="9" fillId="6" borderId="1" xfId="0" applyFont="1" applyFill="1" applyBorder="1"/>
    <xf numFmtId="168" fontId="7" fillId="0" borderId="0" xfId="0" applyNumberFormat="1" applyFont="1"/>
    <xf numFmtId="0" fontId="11" fillId="0" borderId="0" xfId="0" applyFont="1" applyAlignment="1">
      <alignment vertical="top" wrapText="1"/>
    </xf>
    <xf numFmtId="0" fontId="12" fillId="0" borderId="0" xfId="1" applyAlignment="1" applyProtection="1"/>
    <xf numFmtId="169" fontId="0" fillId="0" borderId="0" xfId="0" applyNumberFormat="1"/>
  </cellXfs>
  <cellStyles count="2">
    <cellStyle name="Hyperlink" xfId="1" builtinId="8"/>
    <cellStyle name="Normal" xfId="0" builtinId="0"/>
  </cellStyles>
  <dxfs count="2">
    <dxf>
      <font>
        <color rgb="FF008000"/>
      </font>
      <fill>
        <patternFill>
          <bgColor rgb="FFE2F0D9"/>
        </patternFill>
      </fill>
    </dxf>
    <dxf>
      <font>
        <color rgb="FFC00000"/>
      </font>
      <fill>
        <patternFill>
          <bgColor rgb="FFFCE4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Budget Revenue</c:v>
          </c:tx>
          <c:cat>
            <c:strRef>
              <c:f>'Budget vs Forecast'!$A$5:$A$8</c:f>
              <c:strCache>
                <c:ptCount val="4"/>
                <c:pt idx="0">
                  <c:v>Chile</c:v>
                </c:pt>
                <c:pt idx="1">
                  <c:v>Mexico</c:v>
                </c:pt>
                <c:pt idx="2">
                  <c:v>Peru</c:v>
                </c:pt>
                <c:pt idx="3">
                  <c:v>Spain</c:v>
                </c:pt>
              </c:strCache>
            </c:strRef>
          </c:cat>
          <c:val>
            <c:numRef>
              <c:f>'Budget vs Forecast'!$B$5:$B$8</c:f>
              <c:numCache>
                <c:formatCode>General</c:formatCode>
                <c:ptCount val="4"/>
                <c:pt idx="0">
                  <c:v>878344.23</c:v>
                </c:pt>
                <c:pt idx="1">
                  <c:v>598182.825</c:v>
                </c:pt>
                <c:pt idx="2">
                  <c:v>2044596.0975000001</c:v>
                </c:pt>
                <c:pt idx="3">
                  <c:v>553125.41375</c:v>
                </c:pt>
              </c:numCache>
            </c:numRef>
          </c:val>
        </c:ser>
        <c:ser>
          <c:idx val="1"/>
          <c:order val="1"/>
          <c:tx>
            <c:v>Forecast Revenue</c:v>
          </c:tx>
          <c:cat>
            <c:strRef>
              <c:f>'Budget vs Forecast'!$A$5:$A$8</c:f>
              <c:strCache>
                <c:ptCount val="4"/>
                <c:pt idx="0">
                  <c:v>Chile</c:v>
                </c:pt>
                <c:pt idx="1">
                  <c:v>Mexico</c:v>
                </c:pt>
                <c:pt idx="2">
                  <c:v>Peru</c:v>
                </c:pt>
                <c:pt idx="3">
                  <c:v>Spain</c:v>
                </c:pt>
              </c:strCache>
            </c:strRef>
          </c:cat>
          <c:val>
            <c:numRef>
              <c:f>'Budget vs Forecast'!$C$5:$C$8</c:f>
              <c:numCache>
                <c:formatCode>General</c:formatCode>
                <c:ptCount val="4"/>
                <c:pt idx="0">
                  <c:v>817387.3149749999</c:v>
                </c:pt>
                <c:pt idx="1">
                  <c:v>613195.8129374998</c:v>
                </c:pt>
                <c:pt idx="2">
                  <c:v>2230247.4605249995</c:v>
                </c:pt>
                <c:pt idx="3">
                  <c:v>533849.13229375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Revenue: Budget vs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Budget Revenue</c:v>
          </c:tx>
          <c:spPr>
            <a:ln w="25400"/>
          </c:spPr>
          <c:marker>
            <c:symbol val="none"/>
          </c:marker>
          <c:cat>
            <c:strRef>
              <c:f>'Monthly Performance'!$A$5:$A$16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Performance'!$B$5:$B$16</c:f>
              <c:numCache>
                <c:formatCode>General</c:formatCode>
                <c:ptCount val="12"/>
                <c:pt idx="0">
                  <c:v>229990.78125</c:v>
                </c:pt>
                <c:pt idx="1">
                  <c:v>270733.2669125</c:v>
                </c:pt>
                <c:pt idx="2">
                  <c:v>331321.70315</c:v>
                </c:pt>
                <c:pt idx="3">
                  <c:v>386378.88525</c:v>
                </c:pt>
                <c:pt idx="4">
                  <c:v>427121.3709125</c:v>
                </c:pt>
                <c:pt idx="5">
                  <c:v>421739.5530625</c:v>
                </c:pt>
                <c:pt idx="6">
                  <c:v>407574.2929125</c:v>
                </c:pt>
                <c:pt idx="7">
                  <c:v>381746.5140875</c:v>
                </c:pt>
                <c:pt idx="8">
                  <c:v>341004.02842499997</c:v>
                </c:pt>
                <c:pt idx="9">
                  <c:v>320558.06745</c:v>
                </c:pt>
                <c:pt idx="10">
                  <c:v>305643.3606125</c:v>
                </c:pt>
                <c:pt idx="11">
                  <c:v>250436.742225</c:v>
                </c:pt>
              </c:numCache>
            </c:numRef>
          </c:val>
        </c:ser>
        <c:ser>
          <c:idx val="1"/>
          <c:order val="1"/>
          <c:tx>
            <c:v>Forecast Revenue</c:v>
          </c:tx>
          <c:spPr>
            <a:ln w="25400"/>
          </c:spPr>
          <c:marker>
            <c:symbol val="none"/>
          </c:marker>
          <c:cat>
            <c:strRef>
              <c:f>'Monthly Performance'!$A$5:$A$16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Performance'!$C$5:$C$16</c:f>
              <c:numCache>
                <c:formatCode>General</c:formatCode>
                <c:ptCount val="12"/>
                <c:pt idx="0">
                  <c:v>235510.26676799997</c:v>
                </c:pt>
                <c:pt idx="1">
                  <c:v>277457.06397531246</c:v>
                </c:pt>
                <c:pt idx="2">
                  <c:v>338254.71697824995</c:v>
                </c:pt>
                <c:pt idx="3">
                  <c:v>393713.8786582499</c:v>
                </c:pt>
                <c:pt idx="4">
                  <c:v>435660.6758655624</c:v>
                </c:pt>
                <c:pt idx="5">
                  <c:v>432980.3365458125</c:v>
                </c:pt>
                <c:pt idx="6">
                  <c:v>422126.1240763124</c:v>
                </c:pt>
                <c:pt idx="7">
                  <c:v>397143.31015131244</c:v>
                </c:pt>
                <c:pt idx="8">
                  <c:v>355196.51294399996</c:v>
                </c:pt>
                <c:pt idx="9">
                  <c:v>332894.0383387499</c:v>
                </c:pt>
                <c:pt idx="10">
                  <c:v>315930.05505643744</c:v>
                </c:pt>
                <c:pt idx="11">
                  <c:v>257812.74137324994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layout/>
        </c:title>
        <c:numFmt formatCode="$#,##0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EBITDA: Budget vs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Budget EBITDA</c:v>
          </c:tx>
          <c:spPr>
            <a:ln w="25400"/>
          </c:spPr>
          <c:marker>
            <c:symbol val="none"/>
          </c:marker>
          <c:cat>
            <c:strRef>
              <c:f>'Monthly Performance'!$A$5:$A$16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Performance'!$E$5:$E$16</c:f>
              <c:numCache>
                <c:formatCode>General</c:formatCode>
                <c:ptCount val="12"/>
                <c:pt idx="0">
                  <c:v>29398.601226999985</c:v>
                </c:pt>
                <c:pt idx="1">
                  <c:v>53015.77972199999</c:v>
                </c:pt>
                <c:pt idx="2">
                  <c:v>88245.048471</c:v>
                </c:pt>
                <c:pt idx="3">
                  <c:v>120213.97572999996</c:v>
                </c:pt>
                <c:pt idx="4">
                  <c:v>143831.15422499998</c:v>
                </c:pt>
                <c:pt idx="5">
                  <c:v>140523.533714</c:v>
                </c:pt>
                <c:pt idx="6">
                  <c:v>132124.505929</c:v>
                </c:pt>
                <c:pt idx="7">
                  <c:v>117031.935681</c:v>
                </c:pt>
                <c:pt idx="8">
                  <c:v>93414.75718599997</c:v>
                </c:pt>
                <c:pt idx="9">
                  <c:v>81629.80744899997</c:v>
                </c:pt>
                <c:pt idx="10">
                  <c:v>73105.19920199997</c:v>
                </c:pt>
                <c:pt idx="11">
                  <c:v>41183.55096399999</c:v>
                </c:pt>
              </c:numCache>
            </c:numRef>
          </c:val>
        </c:ser>
        <c:ser>
          <c:idx val="1"/>
          <c:order val="1"/>
          <c:tx>
            <c:v>Forecast EBITDA</c:v>
          </c:tx>
          <c:spPr>
            <a:ln w="25400"/>
          </c:spPr>
          <c:marker>
            <c:symbol val="none"/>
          </c:marker>
          <c:cat>
            <c:strRef>
              <c:f>'Monthly Performance'!$A$5:$A$16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Performance'!$F$5:$F$16</c:f>
              <c:numCache>
                <c:formatCode>General</c:formatCode>
                <c:ptCount val="12"/>
                <c:pt idx="0">
                  <c:v>32841.38056599996</c:v>
                </c:pt>
                <c:pt idx="1">
                  <c:v>57209.60819131244</c:v>
                </c:pt>
                <c:pt idx="2">
                  <c:v>92552.60626174994</c:v>
                </c:pt>
                <c:pt idx="3">
                  <c:v>124759.89885174992</c:v>
                </c:pt>
                <c:pt idx="4">
                  <c:v>149128.12647706244</c:v>
                </c:pt>
                <c:pt idx="5">
                  <c:v>147521.3412178124</c:v>
                </c:pt>
                <c:pt idx="6">
                  <c:v>141211.1964743124</c:v>
                </c:pt>
                <c:pt idx="7">
                  <c:v>126655.8372918124</c:v>
                </c:pt>
                <c:pt idx="8">
                  <c:v>102287.60966649993</c:v>
                </c:pt>
                <c:pt idx="9">
                  <c:v>89339.03574324994</c:v>
                </c:pt>
                <c:pt idx="10">
                  <c:v>79526.16730043743</c:v>
                </c:pt>
                <c:pt idx="11">
                  <c:v>45789.95448924994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EBITDA ($)</a:t>
                </a:r>
              </a:p>
            </c:rich>
          </c:tx>
          <c:layout/>
        </c:title>
        <c:numFmt formatCode="$#,##0" sourceLinked="0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Base Case Project Cash Flows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Base Case Net Cash Flow</c:v>
          </c:tx>
          <c:cat>
            <c:strRef>
              <c:f>CAPEX!$B$10:$G$10</c:f>
              <c:strCache>
                <c:ptCount val="6"/>
                <c:pt idx="0">
                  <c:v>Year 0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CAPEX!$B$12:$G$12</c:f>
              <c:numCache>
                <c:formatCode>General</c:formatCode>
                <c:ptCount val="6"/>
                <c:pt idx="0">
                  <c:v>-850000.0</c:v>
                </c:pt>
                <c:pt idx="1">
                  <c:v>170000.0</c:v>
                </c:pt>
                <c:pt idx="2">
                  <c:v>221500.0</c:v>
                </c:pt>
                <c:pt idx="3">
                  <c:v>274245.4999999999</c:v>
                </c:pt>
                <c:pt idx="4">
                  <c:v>328239.7200000002</c:v>
                </c:pt>
                <c:pt idx="5">
                  <c:v>483484.6224499999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Cash Flow ($)</a:t>
                </a:r>
              </a:p>
            </c:rich>
          </c:tx>
          <c:layout/>
        </c:title>
        <c:numFmt formatCode="$#,##0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16</xdr:row>
      <xdr:rowOff>0</xdr:rowOff>
    </xdr:from>
    <xdr:to>
      <xdr:col>10</xdr:col>
      <xdr:colOff>809625</xdr:colOff>
      <xdr:row>32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18</xdr:col>
      <xdr:colOff>76200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18</xdr:col>
      <xdr:colOff>76200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5</xdr:col>
      <xdr:colOff>466725</xdr:colOff>
      <xdr:row>36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Seasonality" displayName="tblSeasonality" ref="A20:D68" totalsRowShown="0">
  <autoFilter ref="A20:D68"/>
  <tableColumns count="4">
    <tableColumn id="1" name="Country"/>
    <tableColumn id="2" name="Month_Num"/>
    <tableColumn id="3" name="Month"/>
    <tableColumn id="4" name="Sales_Weigh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onthly" displayName="tblMonthly" ref="A3:Z147" totalsRowShown="0">
  <autoFilter ref="A3:Z147"/>
  <tableColumns count="26">
    <tableColumn id="1" name="Date"/>
    <tableColumn id="2" name="Year"/>
    <tableColumn id="3" name="Month_Num"/>
    <tableColumn id="4" name="Month"/>
    <tableColumn id="5" name="Country"/>
    <tableColumn id="6" name="Scenario"/>
    <tableColumn id="7" name="Units_Sold"/>
    <tableColumn id="8" name="Price_per_Plant"/>
    <tableColumn id="9" name="Revenue"/>
    <tableColumn id="10" name="COGS"/>
    <tableColumn id="11" name="Gross_Profit"/>
    <tableColumn id="12" name="Gross_Margin_pct"/>
    <tableColumn id="13" name="Operating_Expenses"/>
    <tableColumn id="14" name="EBITDA"/>
    <tableColumn id="15" name="EBITDA_Margin_pct"/>
    <tableColumn id="16" name="Market_Area_Harvested_ha"/>
    <tableColumn id="17" name="Market_Production_t"/>
    <tableColumn id="18" name="Market_Yield_kg_ha"/>
    <tableColumn id="19" name="Budget_Revenue"/>
    <tableColumn id="20" name="Budget_EBITDA"/>
    <tableColumn id="21" name="Budget_Units_Sold"/>
    <tableColumn id="22" name="Revenue_Variance_vs_Budget"/>
    <tableColumn id="23" name="Revenue_Variance_vs_Budget_pct"/>
    <tableColumn id="24" name="EBITDA_Variance_vs_Budget"/>
    <tableColumn id="25" name="EBITDA_Variance_vs_Budget_pct"/>
    <tableColumn id="26" name="Units_Variance_vs_Budget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APEXSummary" displayName="tblCAPEXSummary" ref="A3:F6" totalsRowShown="0">
  <autoFilter ref="A3:F6"/>
  <tableColumns count="6">
    <tableColumn id="1" name="Scenario"/>
    <tableColumn id="2" name="Initial_Investment"/>
    <tableColumn id="3" name="Discount_Rate_pct"/>
    <tableColumn id="4" name="NPV"/>
    <tableColumn id="5" name="IRR_pct"/>
    <tableColumn id="6" name="Payback_Yea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CAPEXCashflows" displayName="tblCAPEXCashflows" ref="A10:J28" totalsRowShown="0">
  <autoFilter ref="A10:J28"/>
  <tableColumns count="10">
    <tableColumn id="1" name="Scenario"/>
    <tableColumn id="2" name="Year"/>
    <tableColumn id="3" name="Units"/>
    <tableColumn id="4" name="Price_per_Plant"/>
    <tableColumn id="5" name="Variable_Cost_per_Plant"/>
    <tableColumn id="6" name="Incremental_Revenue"/>
    <tableColumn id="7" name="Incremental_Variable_Cost"/>
    <tableColumn id="8" name="Incremental_Fixed_OPEX"/>
    <tableColumn id="9" name="Terminal_Value"/>
    <tableColumn id="10" name="Net_Cash_Fl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o.org/faostat/" TargetMode="Externa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<Relationship Id="rId4" Type="http://schemas.openxmlformats.org/officeDocument/2006/relationships/comments" Target="../comments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showGridLines="0" tabSelected="1" workbookViewId="0"/>
  </sheetViews>
  <sheetFormatPr defaultRowHeight="15"/>
  <cols>
    <col min="1" max="1" width="16.7109375" customWidth="1"/>
    <col min="2" max="5" width="18.7109375" customWidth="1"/>
    <col min="6" max="12" width="14.7109375" customWidth="1"/>
  </cols>
  <sheetData>
    <row r="1" spans="1:12" ht="28" customHeight="1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>
      <c r="A4" s="3" t="s">
        <v>109</v>
      </c>
      <c r="B4" s="3"/>
      <c r="D4" s="3" t="s">
        <v>110</v>
      </c>
      <c r="E4" s="3"/>
      <c r="G4" s="3" t="s">
        <v>111</v>
      </c>
      <c r="H4" s="3"/>
      <c r="J4" s="3" t="s">
        <v>112</v>
      </c>
      <c r="K4" s="3"/>
    </row>
    <row r="5" spans="1:12">
      <c r="A5" s="4">
        <f>'Budget vs Forecast'!C9</f>
        <v>4194679.720731249</v>
      </c>
      <c r="B5" s="4"/>
      <c r="D5" s="5">
        <f>'Budget vs Forecast'!E9</f>
        <v>0.029559108268177203</v>
      </c>
      <c r="E5" s="5"/>
      <c r="G5" s="4">
        <f>'Budget vs Forecast'!G9</f>
        <v>1188822.762531249</v>
      </c>
      <c r="H5" s="4"/>
      <c r="J5" s="5">
        <f>'Budget vs Forecast'!I9</f>
        <v>0.06743621202171401</v>
      </c>
      <c r="K5" s="5"/>
    </row>
    <row r="6" spans="1:12">
      <c r="A6" s="4"/>
      <c r="B6" s="4"/>
      <c r="D6" s="5"/>
      <c r="E6" s="5"/>
      <c r="G6" s="4"/>
      <c r="H6" s="4"/>
      <c r="J6" s="5"/>
      <c r="K6" s="5"/>
    </row>
    <row r="8" spans="1:12">
      <c r="A8" s="3" t="s">
        <v>113</v>
      </c>
      <c r="B8" s="3"/>
      <c r="D8" s="3" t="s">
        <v>114</v>
      </c>
      <c r="E8" s="3"/>
    </row>
    <row r="9" spans="1:12">
      <c r="A9" s="5">
        <f>SUMIFS('Raw_Monthly'!$K$4:$K$147,'Raw_Monthly'!$F$4:$F$147,"Forecast",'Raw_Monthly'!$B$4:$B$147,2025)/SUMIFS('Raw_Monthly'!$I$4:$I$147,'Raw_Monthly'!$F$4:$F$147,"Forecast",'Raw_Monthly'!$B$4:$B$147,2025)</f>
        <v>0.5809317813915106</v>
      </c>
      <c r="B9" s="5"/>
      <c r="D9" s="5">
        <f>SUMIFS('Raw_Monthly'!$N$4:$N$147,'Raw_Monthly'!$F$4:$F$147,"Forecast",'Raw_Monthly'!$B$4:$B$147,2025)/SUMIFS('Raw_Monthly'!$I$4:$I$147,'Raw_Monthly'!$F$4:$F$147,"Forecast",'Raw_Monthly'!$B$4:$B$147,2025)</f>
        <v>0.2834120461344792</v>
      </c>
      <c r="E9" s="5"/>
    </row>
    <row r="10" spans="1:12">
      <c r="A10" s="5"/>
      <c r="B10" s="5"/>
      <c r="D10" s="5"/>
      <c r="E10" s="5"/>
    </row>
    <row r="12" spans="1:12" ht="24" customHeight="1">
      <c r="A12" s="6" t="s">
        <v>115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spans="1:1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7" spans="1:4">
      <c r="A17" s="7" t="s">
        <v>116</v>
      </c>
    </row>
    <row r="18" spans="1:4">
      <c r="A18" s="8" t="s">
        <v>6</v>
      </c>
      <c r="B18" s="8" t="s">
        <v>84</v>
      </c>
      <c r="C18" s="8" t="s">
        <v>88</v>
      </c>
      <c r="D18" s="8" t="s">
        <v>117</v>
      </c>
    </row>
    <row r="19" spans="1:4">
      <c r="A19" t="s">
        <v>29</v>
      </c>
      <c r="B19" s="9">
        <f>'Budget vs Forecast'!E5</f>
        <v>-0.06939980128861334</v>
      </c>
      <c r="C19" s="9">
        <f>'Budget vs Forecast'!I5</f>
        <v>-0.15575445805252985</v>
      </c>
      <c r="D19" s="10" t="str">
        <f>IF(B19&gt;=0,"Ahead","Below")</f>
        <v>Below</v>
      </c>
    </row>
    <row r="20" spans="1:4">
      <c r="A20" t="s">
        <v>42</v>
      </c>
      <c r="B20" s="9">
        <f>'Budget vs Forecast'!E6</f>
        <v>0.02509765795682939</v>
      </c>
      <c r="C20" s="9">
        <f>'Budget vs Forecast'!I6</f>
        <v>0.05845834329495769</v>
      </c>
      <c r="D20" s="10" t="str">
        <f>IF(B20&gt;=0,"Ahead","Below")</f>
        <v>Ahead</v>
      </c>
    </row>
    <row r="21" spans="1:4">
      <c r="A21" t="s">
        <v>43</v>
      </c>
      <c r="B21" s="9">
        <f>'Budget vs Forecast'!E7</f>
        <v>0.09080099646673578</v>
      </c>
      <c r="C21" s="9">
        <f>'Budget vs Forecast'!I7</f>
        <v>0.21803169293179248</v>
      </c>
      <c r="D21" s="10" t="str">
        <f>IF(B21&gt;=0,"Ahead","Below")</f>
        <v>Ahead</v>
      </c>
    </row>
    <row r="22" spans="1:4">
      <c r="A22" t="s">
        <v>44</v>
      </c>
      <c r="B22" s="9">
        <f>'Budget vs Forecast'!E8</f>
        <v>-0.03484974831578147</v>
      </c>
      <c r="C22" s="9">
        <f>'Budget vs Forecast'!I8</f>
        <v>-0.0780760321918964</v>
      </c>
      <c r="D22" s="10" t="str">
        <f>IF(B22&gt;=0,"Ahead","Below")</f>
        <v>Below</v>
      </c>
    </row>
  </sheetData>
  <mergeCells count="15">
    <mergeCell ref="A1:L1"/>
    <mergeCell ref="A2:L2"/>
    <mergeCell ref="A4:B4"/>
    <mergeCell ref="A5:B6"/>
    <mergeCell ref="D4:E4"/>
    <mergeCell ref="D5:E6"/>
    <mergeCell ref="G4:H4"/>
    <mergeCell ref="G5:H6"/>
    <mergeCell ref="J4:K4"/>
    <mergeCell ref="J5:K6"/>
    <mergeCell ref="A8:B8"/>
    <mergeCell ref="A9:B10"/>
    <mergeCell ref="D8:E8"/>
    <mergeCell ref="D9:E10"/>
    <mergeCell ref="A12:L15"/>
  </mergeCells>
  <conditionalFormatting sqref="B19:C2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showGridLines="0" workbookViewId="0"/>
  </sheetViews>
  <sheetFormatPr defaultRowHeight="15"/>
  <cols>
    <col min="1" max="1" width="12.7109375" customWidth="1"/>
    <col min="2" max="7" width="19.7109375" customWidth="1"/>
  </cols>
  <sheetData>
    <row r="1" spans="1:7">
      <c r="A1" s="1" t="s">
        <v>90</v>
      </c>
      <c r="B1" s="1"/>
      <c r="C1" s="1"/>
      <c r="D1" s="1"/>
      <c r="E1" s="1"/>
      <c r="F1" s="1"/>
      <c r="G1" s="1"/>
    </row>
    <row r="2" spans="1:7">
      <c r="A2" s="2" t="s">
        <v>91</v>
      </c>
      <c r="B2" s="2"/>
      <c r="C2" s="2"/>
      <c r="D2" s="2"/>
      <c r="E2" s="2"/>
      <c r="F2" s="2"/>
      <c r="G2" s="2"/>
    </row>
    <row r="4" spans="1:7">
      <c r="A4" s="8" t="s">
        <v>5</v>
      </c>
      <c r="B4" s="8" t="s">
        <v>81</v>
      </c>
      <c r="C4" s="8" t="s">
        <v>82</v>
      </c>
      <c r="D4" s="8" t="s">
        <v>84</v>
      </c>
      <c r="E4" s="8" t="s">
        <v>85</v>
      </c>
      <c r="F4" s="8" t="s">
        <v>86</v>
      </c>
      <c r="G4" s="8" t="s">
        <v>88</v>
      </c>
    </row>
    <row r="5" spans="1:7">
      <c r="A5" t="s">
        <v>28</v>
      </c>
      <c r="B5" s="11">
        <f>SUMIFS('Raw_Monthly'!$I$4:$I$147,'Raw_Monthly'!$C$4:$C$147,1,'Raw_Monthly'!$F$4:$F$147,"Budget",'Raw_Monthly'!$B$4:$B$147,2025)</f>
        <v>229990.78125</v>
      </c>
      <c r="C5" s="11">
        <f>SUMIFS('Raw_Monthly'!$I$4:$I$147,'Raw_Monthly'!$C$4:$C$147,1,'Raw_Monthly'!$F$4:$F$147,"Forecast",'Raw_Monthly'!$B$4:$B$147,2025)</f>
        <v>235510.26676799997</v>
      </c>
      <c r="D5" s="12">
        <f>IFERROR(C5/B5-1,0)</f>
        <v>0.02399872502715783</v>
      </c>
      <c r="E5" s="11">
        <f>SUMIFS('Raw_Monthly'!$N$4:$N$147,'Raw_Monthly'!$C$4:$C$147,1,'Raw_Monthly'!$F$4:$F$147,"Budget",'Raw_Monthly'!$B$4:$B$147,2025)</f>
        <v>29398.601226999985</v>
      </c>
      <c r="F5" s="11">
        <f>SUMIFS('Raw_Monthly'!$N$4:$N$147,'Raw_Monthly'!$C$4:$C$147,1,'Raw_Monthly'!$F$4:$F$147,"Forecast",'Raw_Monthly'!$B$4:$B$147,2025)</f>
        <v>32841.38056599996</v>
      </c>
      <c r="G5" s="12">
        <f>IFERROR(F5/E5-1,0)</f>
        <v>0.11710690969331194</v>
      </c>
    </row>
    <row r="6" spans="1:7">
      <c r="A6" t="s">
        <v>31</v>
      </c>
      <c r="B6" s="11">
        <f>SUMIFS('Raw_Monthly'!$I$4:$I$147,'Raw_Monthly'!$C$4:$C$147,2,'Raw_Monthly'!$F$4:$F$147,"Budget",'Raw_Monthly'!$B$4:$B$147,2025)</f>
        <v>270733.2669125</v>
      </c>
      <c r="C6" s="11">
        <f>SUMIFS('Raw_Monthly'!$I$4:$I$147,'Raw_Monthly'!$C$4:$C$147,2,'Raw_Monthly'!$F$4:$F$147,"Forecast",'Raw_Monthly'!$B$4:$B$147,2025)</f>
        <v>277457.06397531246</v>
      </c>
      <c r="D6" s="12">
        <f>IFERROR(C6/B6-1,0)</f>
        <v>0.024835503739500053</v>
      </c>
      <c r="E6" s="11">
        <f>SUMIFS('Raw_Monthly'!$N$4:$N$147,'Raw_Monthly'!$C$4:$C$147,2,'Raw_Monthly'!$F$4:$F$147,"Budget",'Raw_Monthly'!$B$4:$B$147,2025)</f>
        <v>53015.77972199999</v>
      </c>
      <c r="F6" s="11">
        <f>SUMIFS('Raw_Monthly'!$N$4:$N$147,'Raw_Monthly'!$C$4:$C$147,2,'Raw_Monthly'!$F$4:$F$147,"Forecast",'Raw_Monthly'!$B$4:$B$147,2025)</f>
        <v>57209.60819131244</v>
      </c>
      <c r="G6" s="12">
        <f>IFERROR(F6/E6-1,0)</f>
        <v>0.07910528697877739</v>
      </c>
    </row>
    <row r="7" spans="1:7">
      <c r="A7" t="s">
        <v>32</v>
      </c>
      <c r="B7" s="11">
        <f>SUMIFS('Raw_Monthly'!$I$4:$I$147,'Raw_Monthly'!$C$4:$C$147,3,'Raw_Monthly'!$F$4:$F$147,"Budget",'Raw_Monthly'!$B$4:$B$147,2025)</f>
        <v>331321.70315</v>
      </c>
      <c r="C7" s="11">
        <f>SUMIFS('Raw_Monthly'!$I$4:$I$147,'Raw_Monthly'!$C$4:$C$147,3,'Raw_Monthly'!$F$4:$F$147,"Forecast",'Raw_Monthly'!$B$4:$B$147,2025)</f>
        <v>338254.71697824995</v>
      </c>
      <c r="D7" s="12">
        <f>IFERROR(C7/B7-1,0)</f>
        <v>0.020925323521927996</v>
      </c>
      <c r="E7" s="11">
        <f>SUMIFS('Raw_Monthly'!$N$4:$N$147,'Raw_Monthly'!$C$4:$C$147,3,'Raw_Monthly'!$F$4:$F$147,"Budget",'Raw_Monthly'!$B$4:$B$147,2025)</f>
        <v>88245.048471</v>
      </c>
      <c r="F7" s="11">
        <f>SUMIFS('Raw_Monthly'!$N$4:$N$147,'Raw_Monthly'!$C$4:$C$147,3,'Raw_Monthly'!$F$4:$F$147,"Forecast",'Raw_Monthly'!$B$4:$B$147,2025)</f>
        <v>92552.60626174994</v>
      </c>
      <c r="G7" s="12">
        <f>IFERROR(F7/E7-1,0)</f>
        <v>0.04881359198488666</v>
      </c>
    </row>
    <row r="8" spans="1:7">
      <c r="A8" t="s">
        <v>33</v>
      </c>
      <c r="B8" s="11">
        <f>SUMIFS('Raw_Monthly'!$I$4:$I$147,'Raw_Monthly'!$C$4:$C$147,4,'Raw_Monthly'!$F$4:$F$147,"Budget",'Raw_Monthly'!$B$4:$B$147,2025)</f>
        <v>386378.88525</v>
      </c>
      <c r="C8" s="11">
        <f>SUMIFS('Raw_Monthly'!$I$4:$I$147,'Raw_Monthly'!$C$4:$C$147,4,'Raw_Monthly'!$F$4:$F$147,"Forecast",'Raw_Monthly'!$B$4:$B$147,2025)</f>
        <v>393713.8786582499</v>
      </c>
      <c r="D8" s="12">
        <f>IFERROR(C8/B8-1,0)</f>
        <v>0.018983939568809394</v>
      </c>
      <c r="E8" s="11">
        <f>SUMIFS('Raw_Monthly'!$N$4:$N$147,'Raw_Monthly'!$C$4:$C$147,4,'Raw_Monthly'!$F$4:$F$147,"Budget",'Raw_Monthly'!$B$4:$B$147,2025)</f>
        <v>120213.97572999996</v>
      </c>
      <c r="F8" s="11">
        <f>SUMIFS('Raw_Monthly'!$N$4:$N$147,'Raw_Monthly'!$C$4:$C$147,4,'Raw_Monthly'!$F$4:$F$147,"Forecast",'Raw_Monthly'!$B$4:$B$147,2025)</f>
        <v>124759.89885174992</v>
      </c>
      <c r="G8" s="12">
        <f>IFERROR(F8/E8-1,0)</f>
        <v>0.03781526311017358</v>
      </c>
    </row>
    <row r="9" spans="1:7">
      <c r="A9" t="s">
        <v>34</v>
      </c>
      <c r="B9" s="11">
        <f>SUMIFS('Raw_Monthly'!$I$4:$I$147,'Raw_Monthly'!$C$4:$C$147,5,'Raw_Monthly'!$F$4:$F$147,"Budget",'Raw_Monthly'!$B$4:$B$147,2025)</f>
        <v>427121.3709125</v>
      </c>
      <c r="C9" s="11">
        <f>SUMIFS('Raw_Monthly'!$I$4:$I$147,'Raw_Monthly'!$C$4:$C$147,5,'Raw_Monthly'!$F$4:$F$147,"Forecast",'Raw_Monthly'!$B$4:$B$147,2025)</f>
        <v>435660.6758655624</v>
      </c>
      <c r="D9" s="12">
        <f>IFERROR(C9/B9-1,0)</f>
        <v>0.01999268951309796</v>
      </c>
      <c r="E9" s="11">
        <f>SUMIFS('Raw_Monthly'!$N$4:$N$147,'Raw_Monthly'!$C$4:$C$147,5,'Raw_Monthly'!$F$4:$F$147,"Budget",'Raw_Monthly'!$B$4:$B$147,2025)</f>
        <v>143831.15422499998</v>
      </c>
      <c r="F9" s="11">
        <f>SUMIFS('Raw_Monthly'!$N$4:$N$147,'Raw_Monthly'!$C$4:$C$147,5,'Raw_Monthly'!$F$4:$F$147,"Forecast",'Raw_Monthly'!$B$4:$B$147,2025)</f>
        <v>149128.12647706244</v>
      </c>
      <c r="G9" s="12">
        <f>IFERROR(F9/E9-1,0)</f>
        <v>0.03682771149688624</v>
      </c>
    </row>
    <row r="10" spans="1:7">
      <c r="A10" t="s">
        <v>35</v>
      </c>
      <c r="B10" s="11">
        <f>SUMIFS('Raw_Monthly'!$I$4:$I$147,'Raw_Monthly'!$C$4:$C$147,6,'Raw_Monthly'!$F$4:$F$147,"Budget",'Raw_Monthly'!$B$4:$B$147,2025)</f>
        <v>421739.5530625</v>
      </c>
      <c r="C10" s="11">
        <f>SUMIFS('Raw_Monthly'!$I$4:$I$147,'Raw_Monthly'!$C$4:$C$147,6,'Raw_Monthly'!$F$4:$F$147,"Forecast",'Raw_Monthly'!$B$4:$B$147,2025)</f>
        <v>432980.3365458125</v>
      </c>
      <c r="D10" s="12">
        <f>IFERROR(C10/B10-1,0)</f>
        <v>0.026653377426154368</v>
      </c>
      <c r="E10" s="11">
        <f>SUMIFS('Raw_Monthly'!$N$4:$N$147,'Raw_Monthly'!$C$4:$C$147,6,'Raw_Monthly'!$F$4:$F$147,"Budget",'Raw_Monthly'!$B$4:$B$147,2025)</f>
        <v>140523.533714</v>
      </c>
      <c r="F10" s="11">
        <f>SUMIFS('Raw_Monthly'!$N$4:$N$147,'Raw_Monthly'!$C$4:$C$147,6,'Raw_Monthly'!$F$4:$F$147,"Forecast",'Raw_Monthly'!$B$4:$B$147,2025)</f>
        <v>147521.3412178124</v>
      </c>
      <c r="G10" s="12">
        <f>IFERROR(F10/E10-1,0)</f>
        <v>0.0497981179298741</v>
      </c>
    </row>
    <row r="11" spans="1:7">
      <c r="A11" t="s">
        <v>36</v>
      </c>
      <c r="B11" s="11">
        <f>SUMIFS('Raw_Monthly'!$I$4:$I$147,'Raw_Monthly'!$C$4:$C$147,7,'Raw_Monthly'!$F$4:$F$147,"Budget",'Raw_Monthly'!$B$4:$B$147,2025)</f>
        <v>407574.2929125</v>
      </c>
      <c r="C11" s="11">
        <f>SUMIFS('Raw_Monthly'!$I$4:$I$147,'Raw_Monthly'!$C$4:$C$147,7,'Raw_Monthly'!$F$4:$F$147,"Forecast",'Raw_Monthly'!$B$4:$B$147,2025)</f>
        <v>422126.1240763124</v>
      </c>
      <c r="D11" s="12">
        <f>IFERROR(C11/B11-1,0)</f>
        <v>0.035703505880672726</v>
      </c>
      <c r="E11" s="11">
        <f>SUMIFS('Raw_Monthly'!$N$4:$N$147,'Raw_Monthly'!$C$4:$C$147,7,'Raw_Monthly'!$F$4:$F$147,"Budget",'Raw_Monthly'!$B$4:$B$147,2025)</f>
        <v>132124.505929</v>
      </c>
      <c r="F11" s="11">
        <f>SUMIFS('Raw_Monthly'!$N$4:$N$147,'Raw_Monthly'!$C$4:$C$147,7,'Raw_Monthly'!$F$4:$F$147,"Forecast",'Raw_Monthly'!$B$4:$B$147,2025)</f>
        <v>141211.1964743124</v>
      </c>
      <c r="G11" s="12">
        <f>IFERROR(F11/E11-1,0)</f>
        <v>0.0687736955489191</v>
      </c>
    </row>
    <row r="12" spans="1:7">
      <c r="A12" t="s">
        <v>37</v>
      </c>
      <c r="B12" s="11">
        <f>SUMIFS('Raw_Monthly'!$I$4:$I$147,'Raw_Monthly'!$C$4:$C$147,8,'Raw_Monthly'!$F$4:$F$147,"Budget",'Raw_Monthly'!$B$4:$B$147,2025)</f>
        <v>381746.5140875</v>
      </c>
      <c r="C12" s="11">
        <f>SUMIFS('Raw_Monthly'!$I$4:$I$147,'Raw_Monthly'!$C$4:$C$147,8,'Raw_Monthly'!$F$4:$F$147,"Forecast",'Raw_Monthly'!$B$4:$B$147,2025)</f>
        <v>397143.31015131244</v>
      </c>
      <c r="D12" s="12">
        <f>IFERROR(C12/B12-1,0)</f>
        <v>0.04033251253286707</v>
      </c>
      <c r="E12" s="11">
        <f>SUMIFS('Raw_Monthly'!$N$4:$N$147,'Raw_Monthly'!$C$4:$C$147,8,'Raw_Monthly'!$F$4:$F$147,"Budget",'Raw_Monthly'!$B$4:$B$147,2025)</f>
        <v>117031.935681</v>
      </c>
      <c r="F12" s="11">
        <f>SUMIFS('Raw_Monthly'!$N$4:$N$147,'Raw_Monthly'!$C$4:$C$147,8,'Raw_Monthly'!$F$4:$F$147,"Forecast",'Raw_Monthly'!$B$4:$B$147,2025)</f>
        <v>126655.8372918124</v>
      </c>
      <c r="G12" s="12">
        <f>IFERROR(F12/E12-1,0)</f>
        <v>0.08223312341893374</v>
      </c>
    </row>
    <row r="13" spans="1:7">
      <c r="A13" t="s">
        <v>38</v>
      </c>
      <c r="B13" s="11">
        <f>SUMIFS('Raw_Monthly'!$I$4:$I$147,'Raw_Monthly'!$C$4:$C$147,9,'Raw_Monthly'!$F$4:$F$147,"Budget",'Raw_Monthly'!$B$4:$B$147,2025)</f>
        <v>341004.02842499997</v>
      </c>
      <c r="C13" s="11">
        <f>SUMIFS('Raw_Monthly'!$I$4:$I$147,'Raw_Monthly'!$C$4:$C$147,9,'Raw_Monthly'!$F$4:$F$147,"Forecast",'Raw_Monthly'!$B$4:$B$147,2025)</f>
        <v>355196.51294399996</v>
      </c>
      <c r="D13" s="12">
        <f>IFERROR(C13/B13-1,0)</f>
        <v>0.04161969752835759</v>
      </c>
      <c r="E13" s="11">
        <f>SUMIFS('Raw_Monthly'!$N$4:$N$147,'Raw_Monthly'!$C$4:$C$147,9,'Raw_Monthly'!$F$4:$F$147,"Budget",'Raw_Monthly'!$B$4:$B$147,2025)</f>
        <v>93414.75718599997</v>
      </c>
      <c r="F13" s="11">
        <f>SUMIFS('Raw_Monthly'!$N$4:$N$147,'Raw_Monthly'!$C$4:$C$147,9,'Raw_Monthly'!$F$4:$F$147,"Forecast",'Raw_Monthly'!$B$4:$B$147,2025)</f>
        <v>102287.60966649993</v>
      </c>
      <c r="G13" s="12">
        <f>IFERROR(F13/E13-1,0)</f>
        <v>0.09498341319705039</v>
      </c>
    </row>
    <row r="14" spans="1:7">
      <c r="A14" t="s">
        <v>39</v>
      </c>
      <c r="B14" s="11">
        <f>SUMIFS('Raw_Monthly'!$I$4:$I$147,'Raw_Monthly'!$C$4:$C$147,10,'Raw_Monthly'!$F$4:$F$147,"Budget",'Raw_Monthly'!$B$4:$B$147,2025)</f>
        <v>320558.06745</v>
      </c>
      <c r="C14" s="11">
        <f>SUMIFS('Raw_Monthly'!$I$4:$I$147,'Raw_Monthly'!$C$4:$C$147,10,'Raw_Monthly'!$F$4:$F$147,"Forecast",'Raw_Monthly'!$B$4:$B$147,2025)</f>
        <v>332894.0383387499</v>
      </c>
      <c r="D14" s="12">
        <f>IFERROR(C14/B14-1,0)</f>
        <v>0.03848279653942588</v>
      </c>
      <c r="E14" s="11">
        <f>SUMIFS('Raw_Monthly'!$N$4:$N$147,'Raw_Monthly'!$C$4:$C$147,10,'Raw_Monthly'!$F$4:$F$147,"Budget",'Raw_Monthly'!$B$4:$B$147,2025)</f>
        <v>81629.80744899997</v>
      </c>
      <c r="F14" s="11">
        <f>SUMIFS('Raw_Monthly'!$N$4:$N$147,'Raw_Monthly'!$C$4:$C$147,10,'Raw_Monthly'!$F$4:$F$147,"Forecast",'Raw_Monthly'!$B$4:$B$147,2025)</f>
        <v>89339.03574324994</v>
      </c>
      <c r="G14" s="12">
        <f>IFERROR(F14/E14-1,0)</f>
        <v>0.09444133871155436</v>
      </c>
    </row>
    <row r="15" spans="1:7">
      <c r="A15" t="s">
        <v>40</v>
      </c>
      <c r="B15" s="11">
        <f>SUMIFS('Raw_Monthly'!$I$4:$I$147,'Raw_Monthly'!$C$4:$C$147,11,'Raw_Monthly'!$F$4:$F$147,"Budget",'Raw_Monthly'!$B$4:$B$147,2025)</f>
        <v>305643.3606125</v>
      </c>
      <c r="C15" s="11">
        <f>SUMIFS('Raw_Monthly'!$I$4:$I$147,'Raw_Monthly'!$C$4:$C$147,11,'Raw_Monthly'!$F$4:$F$147,"Forecast",'Raw_Monthly'!$B$4:$B$147,2025)</f>
        <v>315930.05505643744</v>
      </c>
      <c r="D15" s="12">
        <f>IFERROR(C15/B15-1,0)</f>
        <v>0.033655874033459154</v>
      </c>
      <c r="E15" s="11">
        <f>SUMIFS('Raw_Monthly'!$N$4:$N$147,'Raw_Monthly'!$C$4:$C$147,11,'Raw_Monthly'!$F$4:$F$147,"Budget",'Raw_Monthly'!$B$4:$B$147,2025)</f>
        <v>73105.19920199997</v>
      </c>
      <c r="F15" s="11">
        <f>SUMIFS('Raw_Monthly'!$N$4:$N$147,'Raw_Monthly'!$C$4:$C$147,11,'Raw_Monthly'!$F$4:$F$147,"Forecast",'Raw_Monthly'!$B$4:$B$147,2025)</f>
        <v>79526.16730043743</v>
      </c>
      <c r="G15" s="12">
        <f>IFERROR(F15/E15-1,0)</f>
        <v>0.08783189388069945</v>
      </c>
    </row>
    <row r="16" spans="1:7">
      <c r="A16" t="s">
        <v>41</v>
      </c>
      <c r="B16" s="11">
        <f>SUMIFS('Raw_Monthly'!$I$4:$I$147,'Raw_Monthly'!$C$4:$C$147,12,'Raw_Monthly'!$F$4:$F$147,"Budget",'Raw_Monthly'!$B$4:$B$147,2025)</f>
        <v>250436.742225</v>
      </c>
      <c r="C16" s="11">
        <f>SUMIFS('Raw_Monthly'!$I$4:$I$147,'Raw_Monthly'!$C$4:$C$147,12,'Raw_Monthly'!$F$4:$F$147,"Forecast",'Raw_Monthly'!$B$4:$B$147,2025)</f>
        <v>257812.74137324994</v>
      </c>
      <c r="D16" s="12">
        <f>IFERROR(C16/B16-1,0)</f>
        <v>0.029452543914754825</v>
      </c>
      <c r="E16" s="11">
        <f>SUMIFS('Raw_Monthly'!$N$4:$N$147,'Raw_Monthly'!$C$4:$C$147,12,'Raw_Monthly'!$F$4:$F$147,"Budget",'Raw_Monthly'!$B$4:$B$147,2025)</f>
        <v>41183.55096399999</v>
      </c>
      <c r="F16" s="11">
        <f>SUMIFS('Raw_Monthly'!$N$4:$N$147,'Raw_Monthly'!$C$4:$C$147,12,'Raw_Monthly'!$F$4:$F$147,"Forecast",'Raw_Monthly'!$B$4:$B$147,2025)</f>
        <v>45789.95448924994</v>
      </c>
      <c r="G16" s="12">
        <f>IFERROR(F16/E16-1,0)</f>
        <v>0.11185056697215279</v>
      </c>
    </row>
    <row r="17" spans="1:7">
      <c r="A17" s="13" t="s">
        <v>89</v>
      </c>
      <c r="B17" s="14">
        <f>SUM(B5:B16)</f>
        <v>4074248.5662499997</v>
      </c>
      <c r="C17" s="14">
        <f>SUM(C5:C16)</f>
        <v>4194679.720731249</v>
      </c>
      <c r="D17" s="15">
        <f>IFERROR(C17/B17-1,0)</f>
        <v>0.029559108268177203</v>
      </c>
      <c r="E17" s="14">
        <f>SUM(E5:E16)</f>
        <v>1113717.8494999998</v>
      </c>
      <c r="F17" s="14">
        <f>SUM(F5:F16)</f>
        <v>1188822.762531249</v>
      </c>
      <c r="G17" s="15">
        <f>IFERROR(F17/E17-1,0)</f>
        <v>0.06743621202171401</v>
      </c>
    </row>
  </sheetData>
  <mergeCells count="2">
    <mergeCell ref="A1:G1"/>
    <mergeCell ref="A2:G2"/>
  </mergeCells>
  <conditionalFormatting sqref="D5:D16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5:G16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4.7109375" customWidth="1"/>
    <col min="2" max="9" width="19.7109375" customWidth="1"/>
  </cols>
  <sheetData>
    <row r="1" spans="1:9">
      <c r="A1" s="1" t="s">
        <v>79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80</v>
      </c>
      <c r="B2" s="2"/>
      <c r="C2" s="2"/>
      <c r="D2" s="2"/>
      <c r="E2" s="2"/>
      <c r="F2" s="2"/>
      <c r="G2" s="2"/>
      <c r="H2" s="2"/>
      <c r="I2" s="2"/>
    </row>
    <row r="4" spans="1:9">
      <c r="A4" s="8" t="s">
        <v>6</v>
      </c>
      <c r="B4" s="8" t="s">
        <v>81</v>
      </c>
      <c r="C4" s="8" t="s">
        <v>82</v>
      </c>
      <c r="D4" s="8" t="s">
        <v>83</v>
      </c>
      <c r="E4" s="8" t="s">
        <v>84</v>
      </c>
      <c r="F4" s="8" t="s">
        <v>85</v>
      </c>
      <c r="G4" s="8" t="s">
        <v>86</v>
      </c>
      <c r="H4" s="8" t="s">
        <v>87</v>
      </c>
      <c r="I4" s="8" t="s">
        <v>88</v>
      </c>
    </row>
    <row r="5" spans="1:9">
      <c r="A5" t="s">
        <v>29</v>
      </c>
      <c r="B5" s="11">
        <f>SUMIFS('Raw_Monthly'!$I$4:$I$147,'Raw_Monthly'!$E$4:$E$147,$A5,'Raw_Monthly'!$F$4:$F$147,"Budget",'Raw_Monthly'!$B$4:$B$147,2025)</f>
        <v>878344.23</v>
      </c>
      <c r="C5" s="11">
        <f>SUMIFS('Raw_Monthly'!$I$4:$I$147,'Raw_Monthly'!$E$4:$E$147,$A5,'Raw_Monthly'!$F$4:$F$147,"Forecast",'Raw_Monthly'!$B$4:$B$147,2025)</f>
        <v>817387.3149749999</v>
      </c>
      <c r="D5" s="16">
        <f>C5-B5</f>
        <v>-60956.91502500011</v>
      </c>
      <c r="E5" s="12">
        <f>IFERROR(D5/B5,0)</f>
        <v>-0.06939980128861337</v>
      </c>
      <c r="F5" s="11">
        <f>SUMIFS('Raw_Monthly'!$N$4:$N$147,'Raw_Monthly'!$E$4:$E$147,$A5,'Raw_Monthly'!$F$4:$F$147,"Budget",'Raw_Monthly'!$B$4:$B$147,2025)</f>
        <v>249140.72739999997</v>
      </c>
      <c r="G5" s="11">
        <f>SUMIFS('Raw_Monthly'!$N$4:$N$147,'Raw_Monthly'!$E$4:$E$147,$A5,'Raw_Monthly'!$F$4:$F$147,"Forecast",'Raw_Monthly'!$B$4:$B$147,2025)</f>
        <v>210335.9484249999</v>
      </c>
      <c r="H5" s="16">
        <f>G5-F5</f>
        <v>-38804.77897500008</v>
      </c>
      <c r="I5" s="12">
        <f>IFERROR(H5/F5,0)</f>
        <v>-0.15575445805252988</v>
      </c>
    </row>
    <row r="6" spans="1:9">
      <c r="A6" t="s">
        <v>42</v>
      </c>
      <c r="B6" s="11">
        <f>SUMIFS('Raw_Monthly'!$I$4:$I$147,'Raw_Monthly'!$E$4:$E$147,$A6,'Raw_Monthly'!$F$4:$F$147,"Budget",'Raw_Monthly'!$B$4:$B$147,2025)</f>
        <v>598182.825</v>
      </c>
      <c r="C6" s="11">
        <f>SUMIFS('Raw_Monthly'!$I$4:$I$147,'Raw_Monthly'!$E$4:$E$147,$A6,'Raw_Monthly'!$F$4:$F$147,"Forecast",'Raw_Monthly'!$B$4:$B$147,2025)</f>
        <v>613195.8129374998</v>
      </c>
      <c r="D6" s="16">
        <f>C6-B6</f>
        <v>15012.987937499885</v>
      </c>
      <c r="E6" s="12">
        <f>IFERROR(D6/B6,0)</f>
        <v>0.025097657956829313</v>
      </c>
      <c r="F6" s="11">
        <f>SUMIFS('Raw_Monthly'!$N$4:$N$147,'Raw_Monthly'!$E$4:$E$147,$A6,'Raw_Monthly'!$F$4:$F$147,"Budget",'Raw_Monthly'!$B$4:$B$147,2025)</f>
        <v>171247.99939999994</v>
      </c>
      <c r="G6" s="11">
        <f>SUMIFS('Raw_Monthly'!$N$4:$N$147,'Raw_Monthly'!$E$4:$E$147,$A6,'Raw_Monthly'!$F$4:$F$147,"Forecast",'Raw_Monthly'!$B$4:$B$147,2025)</f>
        <v>181258.87373749985</v>
      </c>
      <c r="H6" s="16">
        <f>G6-F6</f>
        <v>10010.874337499903</v>
      </c>
      <c r="I6" s="12">
        <f>IFERROR(H6/F6,0)</f>
        <v>0.05845834329495768</v>
      </c>
    </row>
    <row r="7" spans="1:9">
      <c r="A7" t="s">
        <v>43</v>
      </c>
      <c r="B7" s="11">
        <f>SUMIFS('Raw_Monthly'!$I$4:$I$147,'Raw_Monthly'!$E$4:$E$147,$A7,'Raw_Monthly'!$F$4:$F$147,"Budget",'Raw_Monthly'!$B$4:$B$147,2025)</f>
        <v>2044596.0975000001</v>
      </c>
      <c r="C7" s="11">
        <f>SUMIFS('Raw_Monthly'!$I$4:$I$147,'Raw_Monthly'!$E$4:$E$147,$A7,'Raw_Monthly'!$F$4:$F$147,"Forecast",'Raw_Monthly'!$B$4:$B$147,2025)</f>
        <v>2230247.4605249995</v>
      </c>
      <c r="D7" s="16">
        <f>C7-B7</f>
        <v>185651.3630249994</v>
      </c>
      <c r="E7" s="12">
        <f>IFERROR(D7/B7,0)</f>
        <v>0.09080099646673584</v>
      </c>
      <c r="F7" s="11">
        <f>SUMIFS('Raw_Monthly'!$N$4:$N$147,'Raw_Monthly'!$E$4:$E$147,$A7,'Raw_Monthly'!$F$4:$F$147,"Budget",'Raw_Monthly'!$B$4:$B$147,2025)</f>
        <v>533694.9737</v>
      </c>
      <c r="G7" s="11">
        <f>SUMIFS('Raw_Monthly'!$N$4:$N$147,'Raw_Monthly'!$E$4:$E$147,$A7,'Raw_Monthly'!$F$4:$F$147,"Forecast",'Raw_Monthly'!$B$4:$B$147,2025)</f>
        <v>650057.3923249994</v>
      </c>
      <c r="H7" s="16">
        <f>G7-F7</f>
        <v>116362.41862499947</v>
      </c>
      <c r="I7" s="12">
        <f>IFERROR(H7/F7,0)</f>
        <v>0.2180316929317925</v>
      </c>
    </row>
    <row r="8" spans="1:9">
      <c r="A8" t="s">
        <v>44</v>
      </c>
      <c r="B8" s="11">
        <f>SUMIFS('Raw_Monthly'!$I$4:$I$147,'Raw_Monthly'!$E$4:$E$147,$A8,'Raw_Monthly'!$F$4:$F$147,"Budget",'Raw_Monthly'!$B$4:$B$147,2025)</f>
        <v>553125.41375</v>
      </c>
      <c r="C8" s="11">
        <f>SUMIFS('Raw_Monthly'!$I$4:$I$147,'Raw_Monthly'!$E$4:$E$147,$A8,'Raw_Monthly'!$F$4:$F$147,"Forecast",'Raw_Monthly'!$B$4:$B$147,2025)</f>
        <v>533849.13229375</v>
      </c>
      <c r="D8" s="16">
        <f>C8-B8</f>
        <v>-19276.28145625</v>
      </c>
      <c r="E8" s="12">
        <f>IFERROR(D8/B8,0)</f>
        <v>-0.034849748315781484</v>
      </c>
      <c r="F8" s="11">
        <f>SUMIFS('Raw_Monthly'!$N$4:$N$147,'Raw_Monthly'!$E$4:$E$147,$A8,'Raw_Monthly'!$F$4:$F$147,"Budget",'Raw_Monthly'!$B$4:$B$147,2025)</f>
        <v>159634.14899999995</v>
      </c>
      <c r="G8" s="11">
        <f>SUMIFS('Raw_Monthly'!$N$4:$N$147,'Raw_Monthly'!$E$4:$E$147,$A8,'Raw_Monthly'!$F$4:$F$147,"Forecast",'Raw_Monthly'!$B$4:$B$147,2025)</f>
        <v>147170.54804374996</v>
      </c>
      <c r="H8" s="16">
        <f>G8-F8</f>
        <v>-12463.600956249982</v>
      </c>
      <c r="I8" s="12">
        <f>IFERROR(H8/F8,0)</f>
        <v>-0.0780760321918964</v>
      </c>
    </row>
    <row r="9" spans="1:9">
      <c r="A9" s="13" t="s">
        <v>89</v>
      </c>
      <c r="B9" s="14">
        <f>SUM(B5:B8)</f>
        <v>4074248.5662499997</v>
      </c>
      <c r="C9" s="14">
        <f>SUM(C5:C8)</f>
        <v>4194679.720731249</v>
      </c>
      <c r="D9" s="14">
        <f>SUM(D5:D8)</f>
        <v>120431.1544812494</v>
      </c>
      <c r="E9" s="15">
        <f>IFERROR(D9/B9,0)</f>
        <v>0.029559108268177182</v>
      </c>
      <c r="F9" s="14">
        <f>SUM(F5:F8)</f>
        <v>1113717.8494999998</v>
      </c>
      <c r="G9" s="14">
        <f>SUM(G5:G8)</f>
        <v>1188822.762531249</v>
      </c>
      <c r="H9" s="14">
        <f>SUM(H5:H8)</f>
        <v>75104.9130312493</v>
      </c>
      <c r="I9" s="15">
        <f>IFERROR(H9/F9,0)</f>
        <v>0.06743621202171396</v>
      </c>
    </row>
  </sheetData>
  <mergeCells count="2">
    <mergeCell ref="A1:I1"/>
    <mergeCell ref="A2:I2"/>
  </mergeCells>
  <conditionalFormatting sqref="E5:E8">
    <cfRule type="cellIs" dxfId="0" priority="1" operator="greaterThanOrEqual">
      <formula>0</formula>
    </cfRule>
    <cfRule type="cellIs" dxfId="1" priority="2" operator="lessThan">
      <formula>0</formula>
    </cfRule>
  </conditionalFormatting>
  <conditionalFormatting sqref="I5:I8">
    <cfRule type="cellIs" dxfId="0" priority="3" operator="greaterThanOrEqual">
      <formula>0</formula>
    </cfRule>
    <cfRule type="cellIs" dxfId="1" priority="4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"/>
  <sheetViews>
    <sheetView showGridLines="0" workbookViewId="0"/>
  </sheetViews>
  <sheetFormatPr defaultRowHeight="15"/>
  <cols>
    <col min="1" max="1" width="14.7109375" customWidth="1"/>
    <col min="2" max="10" width="17.7109375" customWidth="1"/>
  </cols>
  <sheetData>
    <row r="1" spans="1:10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93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8" t="s">
        <v>7</v>
      </c>
      <c r="B4" s="8" t="s">
        <v>94</v>
      </c>
      <c r="C4" s="8" t="s">
        <v>95</v>
      </c>
      <c r="D4" s="8" t="s">
        <v>96</v>
      </c>
      <c r="E4" s="8" t="s">
        <v>97</v>
      </c>
      <c r="F4" s="8" t="s">
        <v>98</v>
      </c>
    </row>
    <row r="5" spans="1:10">
      <c r="A5" t="s">
        <v>53</v>
      </c>
      <c r="B5" s="11">
        <f>INDEX('Raw_CAPEX'!$B$4:$B$6,MATCH($A5,'Raw_CAPEX'!$A$4:$A$6,0))</f>
        <v>850000.0</v>
      </c>
      <c r="C5" s="9">
        <f>INDEX('Raw_CAPEX'!$C$4:$C$6,MATCH($A5,'Raw_CAPEX'!$A$4:$A$6,0))/100</f>
        <v>0.1</v>
      </c>
      <c r="D5" s="11">
        <f>INDEX('Raw_CAPEX'!$D$4:$D$6,MATCH($A5,'Raw_CAPEX'!$A$4:$A$6,0))</f>
        <v>-241346.25390435348</v>
      </c>
      <c r="E5" s="9">
        <f>INDEX('Raw_CAPEX'!$E$4:$E$6,MATCH($A5,'Raw_CAPEX'!$A$4:$A$6,0))/100</f>
        <v>-0.0006087533107493761</v>
      </c>
      <c r="F5" s="17">
        <f>INDEX('Raw_CAPEX'!$F$4:$F$6,MATCH($A5,'Raw_CAPEX'!$A$4:$A$6,0))</f>
        <v>None</v>
      </c>
    </row>
    <row r="6" spans="1:10">
      <c r="A6" t="s">
        <v>54</v>
      </c>
      <c r="B6" s="11">
        <f>INDEX('Raw_CAPEX'!$B$4:$B$6,MATCH($A6,'Raw_CAPEX'!$A$4:$A$6,0))</f>
        <v>850000.0</v>
      </c>
      <c r="C6" s="9">
        <f>INDEX('Raw_CAPEX'!$C$4:$C$6,MATCH($A6,'Raw_CAPEX'!$A$4:$A$6,0))/100</f>
        <v>0.1</v>
      </c>
      <c r="D6" s="11">
        <f>INDEX('Raw_CAPEX'!$D$4:$D$6,MATCH($A6,'Raw_CAPEX'!$A$4:$A$6,0))</f>
        <v>218046.0658114508</v>
      </c>
      <c r="E6" s="9">
        <f>INDEX('Raw_CAPEX'!$E$4:$E$6,MATCH($A6,'Raw_CAPEX'!$A$4:$A$6,0))/100</f>
        <v>0.18030555684296232</v>
      </c>
      <c r="F6" s="17">
        <f>INDEX('Raw_CAPEX'!$F$4:$F$6,MATCH($A6,'Raw_CAPEX'!$A$4:$A$6,0))</f>
        <v>3.5613412660722474</v>
      </c>
    </row>
    <row r="7" spans="1:10">
      <c r="A7" t="s">
        <v>55</v>
      </c>
      <c r="B7" s="11">
        <f>INDEX('Raw_CAPEX'!$B$4:$B$6,MATCH($A7,'Raw_CAPEX'!$A$4:$A$6,0))</f>
        <v>850000.0</v>
      </c>
      <c r="C7" s="9">
        <f>INDEX('Raw_CAPEX'!$C$4:$C$6,MATCH($A7,'Raw_CAPEX'!$A$4:$A$6,0))/100</f>
        <v>0.1</v>
      </c>
      <c r="D7" s="11">
        <f>INDEX('Raw_CAPEX'!$D$4:$D$6,MATCH($A7,'Raw_CAPEX'!$A$4:$A$6,0))</f>
        <v>612720.6458524317</v>
      </c>
      <c r="E7" s="9">
        <f>INDEX('Raw_CAPEX'!$E$4:$E$6,MATCH($A7,'Raw_CAPEX'!$A$4:$A$6,0))/100</f>
        <v>0.31037742430259924</v>
      </c>
      <c r="F7" s="17">
        <f>INDEX('Raw_CAPEX'!$F$4:$F$6,MATCH($A7,'Raw_CAPEX'!$A$4:$A$6,0))</f>
        <v>2.79321385565628</v>
      </c>
    </row>
    <row r="9" spans="1:10">
      <c r="A9" s="7" t="s">
        <v>99</v>
      </c>
    </row>
    <row r="10" spans="1:10">
      <c r="A10" s="8" t="s">
        <v>7</v>
      </c>
      <c r="B10" s="8" t="s">
        <v>100</v>
      </c>
      <c r="C10" s="8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96</v>
      </c>
      <c r="I10" s="8" t="s">
        <v>97</v>
      </c>
      <c r="J10" s="8" t="s">
        <v>98</v>
      </c>
    </row>
    <row r="11" spans="1:10">
      <c r="A11" t="s">
        <v>53</v>
      </c>
      <c r="B11" s="11">
        <f>SUMIFS('Raw_CAPEX'!$J$11:$J$28,'Raw_CAPEX'!$A$11:$A$28,$A11,'Raw_CAPEX'!$B$11:$B$28,0)</f>
        <v>-850000.0</v>
      </c>
      <c r="C11" s="11">
        <f>SUMIFS('Raw_CAPEX'!$J$11:$J$28,'Raw_CAPEX'!$A$11:$A$28,$A11,'Raw_CAPEX'!$B$11:$B$28,1)</f>
        <v>87437.49999999994</v>
      </c>
      <c r="D11" s="11">
        <f>SUMIFS('Raw_CAPEX'!$J$11:$J$28,'Raw_CAPEX'!$A$11:$A$28,$A11,'Raw_CAPEX'!$B$11:$B$28,2)</f>
        <v>120842.5</v>
      </c>
      <c r="E11" s="11">
        <f>SUMIFS('Raw_CAPEX'!$J$11:$J$28,'Raw_CAPEX'!$A$11:$A$28,$A11,'Raw_CAPEX'!$B$11:$B$28,3)</f>
        <v>154942.53999999998</v>
      </c>
      <c r="F11" s="11">
        <f>SUMIFS('Raw_CAPEX'!$J$11:$J$28,'Raw_CAPEX'!$A$11:$A$28,$A11,'Raw_CAPEX'!$B$11:$B$28,4)</f>
        <v>189730.95400000009</v>
      </c>
      <c r="G11" s="11">
        <f>SUMIFS('Raw_CAPEX'!$J$11:$J$28,'Raw_CAPEX'!$A$11:$A$28,$A11,'Raw_CAPEX'!$B$11:$B$28,5)</f>
        <v>295199.81057449995</v>
      </c>
      <c r="H11" s="16">
        <f>NPV(INDEX($C$5:$C$7,MATCH($A11,$A$5:$A$7,0)),C11:G11)+B11</f>
        <v>-241346.25390435348</v>
      </c>
      <c r="I11" s="12">
        <f>IRR(B11:G11)</f>
        <v>-0.0006087533107493761</v>
      </c>
      <c r="J11" s="17">
        <f>INDEX($F$5:$F$7,MATCH($A11,$A$5:$A$7,0))</f>
        <v>None</v>
      </c>
    </row>
    <row r="12" spans="1:10">
      <c r="A12" t="s">
        <v>54</v>
      </c>
      <c r="B12" s="11">
        <f>SUMIFS('Raw_CAPEX'!$J$11:$J$28,'Raw_CAPEX'!$A$11:$A$28,$A12,'Raw_CAPEX'!$B$11:$B$28,0)</f>
        <v>-850000.0</v>
      </c>
      <c r="C12" s="11">
        <f>SUMIFS('Raw_CAPEX'!$J$11:$J$28,'Raw_CAPEX'!$A$11:$A$28,$A12,'Raw_CAPEX'!$B$11:$B$28,1)</f>
        <v>170000.0</v>
      </c>
      <c r="D12" s="11">
        <f>SUMIFS('Raw_CAPEX'!$J$11:$J$28,'Raw_CAPEX'!$A$11:$A$28,$A12,'Raw_CAPEX'!$B$11:$B$28,2)</f>
        <v>221500.0</v>
      </c>
      <c r="E12" s="11">
        <f>SUMIFS('Raw_CAPEX'!$J$11:$J$28,'Raw_CAPEX'!$A$11:$A$28,$A12,'Raw_CAPEX'!$B$11:$B$28,3)</f>
        <v>274245.4999999999</v>
      </c>
      <c r="F12" s="11">
        <f>SUMIFS('Raw_CAPEX'!$J$11:$J$28,'Raw_CAPEX'!$A$11:$A$28,$A12,'Raw_CAPEX'!$B$11:$B$28,4)</f>
        <v>328239.7200000002</v>
      </c>
      <c r="G12" s="11">
        <f>SUMIFS('Raw_CAPEX'!$J$11:$J$28,'Raw_CAPEX'!$A$11:$A$28,$A12,'Raw_CAPEX'!$B$11:$B$28,5)</f>
        <v>483484.6224499999</v>
      </c>
      <c r="H12" s="16">
        <f>NPV(INDEX($C$5:$C$7,MATCH($A12,$A$5:$A$7,0)),C12:G12)+B12</f>
        <v>218046.0658114508</v>
      </c>
      <c r="I12" s="12">
        <f>IRR(B12:G12)</f>
        <v>0.18030555684296232</v>
      </c>
      <c r="J12" s="17">
        <f>INDEX($F$5:$F$7,MATCH($A12,$A$5:$A$7,0))</f>
        <v>3.5613412660722474</v>
      </c>
    </row>
    <row r="13" spans="1:10">
      <c r="A13" t="s">
        <v>55</v>
      </c>
      <c r="B13" s="11">
        <f>SUMIFS('Raw_CAPEX'!$J$11:$J$28,'Raw_CAPEX'!$A$11:$A$28,$A13,'Raw_CAPEX'!$B$11:$B$28,0)</f>
        <v>-850000.0</v>
      </c>
      <c r="C13" s="11">
        <f>SUMIFS('Raw_CAPEX'!$J$11:$J$28,'Raw_CAPEX'!$A$11:$A$28,$A13,'Raw_CAPEX'!$B$11:$B$28,1)</f>
        <v>241600.0</v>
      </c>
      <c r="D13" s="11">
        <f>SUMIFS('Raw_CAPEX'!$J$11:$J$28,'Raw_CAPEX'!$A$11:$A$28,$A13,'Raw_CAPEX'!$B$11:$B$28,2)</f>
        <v>308794.0</v>
      </c>
      <c r="E13" s="11">
        <f>SUMIFS('Raw_CAPEX'!$J$11:$J$28,'Raw_CAPEX'!$A$11:$A$28,$A13,'Raw_CAPEX'!$B$11:$B$28,3)</f>
        <v>377711.506</v>
      </c>
      <c r="F13" s="11">
        <f>SUMIFS('Raw_CAPEX'!$J$11:$J$28,'Raw_CAPEX'!$A$11:$A$28,$A13,'Raw_CAPEX'!$B$11:$B$28,4)</f>
        <v>448364.35600000026</v>
      </c>
      <c r="G13" s="11">
        <f>SUMIFS('Raw_CAPEX'!$J$11:$J$28,'Raw_CAPEX'!$A$11:$A$28,$A13,'Raw_CAPEX'!$B$11:$B$28,5)</f>
        <v>640763.1394918</v>
      </c>
      <c r="H13" s="16">
        <f>NPV(INDEX($C$5:$C$7,MATCH($A13,$A$5:$A$7,0)),C13:G13)+B13</f>
        <v>612720.6458524317</v>
      </c>
      <c r="I13" s="12">
        <f>IRR(B13:G13)</f>
        <v>0.31037742430259924</v>
      </c>
      <c r="J13" s="17">
        <f>INDEX($F$5:$F$7,MATCH($A13,$A$5:$A$7,0))</f>
        <v>2.79321385565628</v>
      </c>
    </row>
    <row r="15" spans="1:10" ht="24" customHeight="1">
      <c r="A15" s="6" t="s">
        <v>106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</sheetData>
  <mergeCells count="3">
    <mergeCell ref="A1:J1"/>
    <mergeCell ref="A2:J2"/>
    <mergeCell ref="A15:J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8"/>
  <sheetViews>
    <sheetView showGridLines="0" workbookViewId="0"/>
  </sheetViews>
  <sheetFormatPr defaultRowHeight="15"/>
  <cols>
    <col min="1" max="1" width="22.7109375" customWidth="1"/>
    <col min="2" max="9" width="19.7109375" customWidth="1"/>
  </cols>
  <sheetData>
    <row r="1" spans="1:9">
      <c r="A1" s="1" t="s">
        <v>63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64</v>
      </c>
      <c r="B2" s="2"/>
      <c r="C2" s="2"/>
      <c r="D2" s="2"/>
      <c r="E2" s="2"/>
      <c r="F2" s="2"/>
      <c r="G2" s="2"/>
      <c r="H2" s="2"/>
      <c r="I2" s="2"/>
    </row>
    <row r="4" spans="1:9">
      <c r="A4" s="8" t="s">
        <v>6</v>
      </c>
      <c r="B4" s="8" t="s">
        <v>65</v>
      </c>
      <c r="C4" s="8" t="s">
        <v>66</v>
      </c>
      <c r="D4" s="8" t="s">
        <v>67</v>
      </c>
      <c r="E4" s="8" t="s">
        <v>68</v>
      </c>
      <c r="F4" s="8" t="s">
        <v>69</v>
      </c>
      <c r="G4" s="8" t="s">
        <v>70</v>
      </c>
      <c r="H4" s="8" t="s">
        <v>71</v>
      </c>
      <c r="I4" s="8" t="s">
        <v>72</v>
      </c>
    </row>
    <row r="5" spans="1:9">
      <c r="A5" s="18" t="s">
        <v>43</v>
      </c>
      <c r="B5" s="19">
        <v>0.055</v>
      </c>
      <c r="C5" s="20">
        <v>3300</v>
      </c>
      <c r="D5" s="19">
        <v>0.08500000000000001</v>
      </c>
      <c r="E5" s="21">
        <v>4.1</v>
      </c>
      <c r="F5" s="21">
        <v>1.72</v>
      </c>
      <c r="G5" s="22">
        <v>620000</v>
      </c>
      <c r="H5" s="19">
        <v>0.12</v>
      </c>
      <c r="I5" s="19">
        <v>0.08</v>
      </c>
    </row>
    <row r="6" spans="1:9">
      <c r="A6" s="18" t="s">
        <v>44</v>
      </c>
      <c r="B6" s="19">
        <v>0.09</v>
      </c>
      <c r="C6" s="20">
        <v>3200</v>
      </c>
      <c r="D6" s="19">
        <v>0.075</v>
      </c>
      <c r="E6" s="21">
        <v>4.55</v>
      </c>
      <c r="F6" s="21">
        <v>1.85</v>
      </c>
      <c r="G6" s="22">
        <v>160000</v>
      </c>
      <c r="H6" s="19">
        <v>0.06</v>
      </c>
      <c r="I6" s="19">
        <v>-0.03</v>
      </c>
    </row>
    <row r="7" spans="1:9">
      <c r="A7" s="18" t="s">
        <v>29</v>
      </c>
      <c r="B7" s="19">
        <v>0.07000000000000001</v>
      </c>
      <c r="C7" s="20">
        <v>3000</v>
      </c>
      <c r="D7" s="19">
        <v>0.065</v>
      </c>
      <c r="E7" s="21">
        <v>4.3</v>
      </c>
      <c r="F7" s="21">
        <v>1.79</v>
      </c>
      <c r="G7" s="22">
        <v>250000</v>
      </c>
      <c r="H7" s="19">
        <v>0.04</v>
      </c>
      <c r="I7" s="19">
        <v>-0.06</v>
      </c>
    </row>
    <row r="8" spans="1:9">
      <c r="A8" s="18" t="s">
        <v>42</v>
      </c>
      <c r="B8" s="19">
        <v>0.08</v>
      </c>
      <c r="C8" s="20">
        <v>3400</v>
      </c>
      <c r="D8" s="19">
        <v>0.08</v>
      </c>
      <c r="E8" s="21">
        <v>4.25</v>
      </c>
      <c r="F8" s="21">
        <v>1.76</v>
      </c>
      <c r="G8" s="22">
        <v>170000</v>
      </c>
      <c r="H8" s="19">
        <v>0.08</v>
      </c>
      <c r="I8" s="19">
        <v>0.02</v>
      </c>
    </row>
    <row r="11" spans="1:9">
      <c r="A11" s="7" t="s">
        <v>73</v>
      </c>
    </row>
    <row r="13" spans="1:9">
      <c r="A13" s="23" t="s">
        <v>74</v>
      </c>
      <c r="B13" s="24" t="s">
        <v>43</v>
      </c>
    </row>
    <row r="14" spans="1:9">
      <c r="A14" s="23" t="s">
        <v>75</v>
      </c>
      <c r="B14" s="25">
        <f>INDEX($E$5:$E$8,MATCH($B$13,$A$5:$A$8,0))</f>
        <v>4.1</v>
      </c>
    </row>
    <row r="15" spans="1:9">
      <c r="A15" s="23" t="s">
        <v>65</v>
      </c>
      <c r="B15" s="12">
        <f>INDEX($B$5:$B$8,MATCH($B$13,$A$5:$A$8,0))</f>
        <v>0.055</v>
      </c>
    </row>
    <row r="16" spans="1:9">
      <c r="A16" s="23" t="s">
        <v>76</v>
      </c>
      <c r="B16" s="16">
        <f>INDEX($G$5:$G$8,MATCH($B$13,$A$5:$A$8,0))</f>
        <v>620000.0</v>
      </c>
    </row>
    <row r="19" spans="1:5">
      <c r="A19" s="7" t="s">
        <v>77</v>
      </c>
      <c r="B19" s="7"/>
      <c r="C19" s="7"/>
      <c r="D19" s="7"/>
      <c r="E19" s="7"/>
    </row>
    <row r="20" spans="1:5">
      <c r="A20" t="s">
        <v>6</v>
      </c>
      <c r="B20" t="s">
        <v>4</v>
      </c>
      <c r="C20" t="s">
        <v>5</v>
      </c>
      <c r="D20" t="s">
        <v>78</v>
      </c>
    </row>
    <row r="21" spans="1:5">
      <c r="A21" t="s">
        <v>29</v>
      </c>
      <c r="B21">
        <v>1</v>
      </c>
      <c r="C21" t="s">
        <v>28</v>
      </c>
      <c r="D21">
        <v>0.06</v>
      </c>
    </row>
    <row r="22" spans="1:5">
      <c r="A22" t="s">
        <v>29</v>
      </c>
      <c r="B22">
        <v>2</v>
      </c>
      <c r="C22" t="s">
        <v>31</v>
      </c>
      <c r="D22">
        <v>0.07000000000000001</v>
      </c>
    </row>
    <row r="23" spans="1:5">
      <c r="A23" t="s">
        <v>29</v>
      </c>
      <c r="B23">
        <v>3</v>
      </c>
      <c r="C23" t="s">
        <v>32</v>
      </c>
      <c r="D23">
        <v>0.09</v>
      </c>
    </row>
    <row r="24" spans="1:5">
      <c r="A24" t="s">
        <v>29</v>
      </c>
      <c r="B24">
        <v>4</v>
      </c>
      <c r="C24" t="s">
        <v>33</v>
      </c>
      <c r="D24">
        <v>0.11</v>
      </c>
    </row>
    <row r="25" spans="1:5">
      <c r="A25" t="s">
        <v>29</v>
      </c>
      <c r="B25">
        <v>5</v>
      </c>
      <c r="C25" t="s">
        <v>34</v>
      </c>
      <c r="D25">
        <v>0.12</v>
      </c>
    </row>
    <row r="26" spans="1:5">
      <c r="A26" t="s">
        <v>29</v>
      </c>
      <c r="B26">
        <v>6</v>
      </c>
      <c r="C26" t="s">
        <v>35</v>
      </c>
      <c r="D26">
        <v>0.11</v>
      </c>
    </row>
    <row r="27" spans="1:5">
      <c r="A27" t="s">
        <v>29</v>
      </c>
      <c r="B27">
        <v>7</v>
      </c>
      <c r="C27" t="s">
        <v>36</v>
      </c>
      <c r="D27">
        <v>0.09</v>
      </c>
    </row>
    <row r="28" spans="1:5">
      <c r="A28" t="s">
        <v>29</v>
      </c>
      <c r="B28">
        <v>8</v>
      </c>
      <c r="C28" t="s">
        <v>37</v>
      </c>
      <c r="D28">
        <v>0.08</v>
      </c>
    </row>
    <row r="29" spans="1:5">
      <c r="A29" t="s">
        <v>29</v>
      </c>
      <c r="B29">
        <v>9</v>
      </c>
      <c r="C29" t="s">
        <v>38</v>
      </c>
      <c r="D29">
        <v>0.07000000000000001</v>
      </c>
    </row>
    <row r="30" spans="1:5">
      <c r="A30" t="s">
        <v>29</v>
      </c>
      <c r="B30">
        <v>10</v>
      </c>
      <c r="C30" t="s">
        <v>39</v>
      </c>
      <c r="D30">
        <v>0.07000000000000001</v>
      </c>
    </row>
    <row r="31" spans="1:5">
      <c r="A31" t="s">
        <v>29</v>
      </c>
      <c r="B31">
        <v>11</v>
      </c>
      <c r="C31" t="s">
        <v>40</v>
      </c>
      <c r="D31">
        <v>0.07000000000000001</v>
      </c>
    </row>
    <row r="32" spans="1:5">
      <c r="A32" t="s">
        <v>29</v>
      </c>
      <c r="B32">
        <v>12</v>
      </c>
      <c r="C32" t="s">
        <v>41</v>
      </c>
      <c r="D32">
        <v>0.06</v>
      </c>
    </row>
    <row r="33" spans="1:4">
      <c r="A33" t="s">
        <v>42</v>
      </c>
      <c r="B33">
        <v>1</v>
      </c>
      <c r="C33" t="s">
        <v>28</v>
      </c>
      <c r="D33">
        <v>0.07000000000000001</v>
      </c>
    </row>
    <row r="34" spans="1:4">
      <c r="A34" t="s">
        <v>42</v>
      </c>
      <c r="B34">
        <v>2</v>
      </c>
      <c r="C34" t="s">
        <v>31</v>
      </c>
      <c r="D34">
        <v>0.08</v>
      </c>
    </row>
    <row r="35" spans="1:4">
      <c r="A35" t="s">
        <v>42</v>
      </c>
      <c r="B35">
        <v>3</v>
      </c>
      <c r="C35" t="s">
        <v>32</v>
      </c>
      <c r="D35">
        <v>0.09</v>
      </c>
    </row>
    <row r="36" spans="1:4">
      <c r="A36" t="s">
        <v>42</v>
      </c>
      <c r="B36">
        <v>4</v>
      </c>
      <c r="C36" t="s">
        <v>33</v>
      </c>
      <c r="D36">
        <v>0.1</v>
      </c>
    </row>
    <row r="37" spans="1:4">
      <c r="A37" t="s">
        <v>42</v>
      </c>
      <c r="B37">
        <v>5</v>
      </c>
      <c r="C37" t="s">
        <v>34</v>
      </c>
      <c r="D37">
        <v>0.11</v>
      </c>
    </row>
    <row r="38" spans="1:4">
      <c r="A38" t="s">
        <v>42</v>
      </c>
      <c r="B38">
        <v>6</v>
      </c>
      <c r="C38" t="s">
        <v>35</v>
      </c>
      <c r="D38">
        <v>0.1</v>
      </c>
    </row>
    <row r="39" spans="1:4">
      <c r="A39" t="s">
        <v>42</v>
      </c>
      <c r="B39">
        <v>7</v>
      </c>
      <c r="C39" t="s">
        <v>36</v>
      </c>
      <c r="D39">
        <v>0.09</v>
      </c>
    </row>
    <row r="40" spans="1:4">
      <c r="A40" t="s">
        <v>42</v>
      </c>
      <c r="B40">
        <v>8</v>
      </c>
      <c r="C40" t="s">
        <v>37</v>
      </c>
      <c r="D40">
        <v>0.08</v>
      </c>
    </row>
    <row r="41" spans="1:4">
      <c r="A41" t="s">
        <v>42</v>
      </c>
      <c r="B41">
        <v>9</v>
      </c>
      <c r="C41" t="s">
        <v>38</v>
      </c>
      <c r="D41">
        <v>0.07000000000000001</v>
      </c>
    </row>
    <row r="42" spans="1:4">
      <c r="A42" t="s">
        <v>42</v>
      </c>
      <c r="B42">
        <v>10</v>
      </c>
      <c r="C42" t="s">
        <v>39</v>
      </c>
      <c r="D42">
        <v>0.07000000000000001</v>
      </c>
    </row>
    <row r="43" spans="1:4">
      <c r="A43" t="s">
        <v>42</v>
      </c>
      <c r="B43">
        <v>11</v>
      </c>
      <c r="C43" t="s">
        <v>40</v>
      </c>
      <c r="D43">
        <v>0.07000000000000001</v>
      </c>
    </row>
    <row r="44" spans="1:4">
      <c r="A44" t="s">
        <v>42</v>
      </c>
      <c r="B44">
        <v>12</v>
      </c>
      <c r="C44" t="s">
        <v>41</v>
      </c>
      <c r="D44">
        <v>0.07000000000000001</v>
      </c>
    </row>
    <row r="45" spans="1:4">
      <c r="A45" t="s">
        <v>43</v>
      </c>
      <c r="B45">
        <v>1</v>
      </c>
      <c r="C45" t="s">
        <v>28</v>
      </c>
      <c r="D45">
        <v>0.05</v>
      </c>
    </row>
    <row r="46" spans="1:4">
      <c r="A46" t="s">
        <v>43</v>
      </c>
      <c r="B46">
        <v>2</v>
      </c>
      <c r="C46" t="s">
        <v>31</v>
      </c>
      <c r="D46">
        <v>0.06</v>
      </c>
    </row>
    <row r="47" spans="1:4">
      <c r="A47" t="s">
        <v>43</v>
      </c>
      <c r="B47">
        <v>3</v>
      </c>
      <c r="C47" t="s">
        <v>32</v>
      </c>
      <c r="D47">
        <v>0.07000000000000001</v>
      </c>
    </row>
    <row r="48" spans="1:4">
      <c r="A48" t="s">
        <v>43</v>
      </c>
      <c r="B48">
        <v>4</v>
      </c>
      <c r="C48" t="s">
        <v>33</v>
      </c>
      <c r="D48">
        <v>0.08</v>
      </c>
    </row>
    <row r="49" spans="1:4">
      <c r="A49" t="s">
        <v>43</v>
      </c>
      <c r="B49">
        <v>5</v>
      </c>
      <c r="C49" t="s">
        <v>34</v>
      </c>
      <c r="D49">
        <v>0.09</v>
      </c>
    </row>
    <row r="50" spans="1:4">
      <c r="A50" t="s">
        <v>43</v>
      </c>
      <c r="B50">
        <v>6</v>
      </c>
      <c r="C50" t="s">
        <v>35</v>
      </c>
      <c r="D50">
        <v>0.1</v>
      </c>
    </row>
    <row r="51" spans="1:4">
      <c r="A51" t="s">
        <v>43</v>
      </c>
      <c r="B51">
        <v>7</v>
      </c>
      <c r="C51" t="s">
        <v>36</v>
      </c>
      <c r="D51">
        <v>0.11</v>
      </c>
    </row>
    <row r="52" spans="1:4">
      <c r="A52" t="s">
        <v>43</v>
      </c>
      <c r="B52">
        <v>8</v>
      </c>
      <c r="C52" t="s">
        <v>37</v>
      </c>
      <c r="D52">
        <v>0.11</v>
      </c>
    </row>
    <row r="53" spans="1:4">
      <c r="A53" t="s">
        <v>43</v>
      </c>
      <c r="B53">
        <v>9</v>
      </c>
      <c r="C53" t="s">
        <v>38</v>
      </c>
      <c r="D53">
        <v>0.1</v>
      </c>
    </row>
    <row r="54" spans="1:4">
      <c r="A54" t="s">
        <v>43</v>
      </c>
      <c r="B54">
        <v>10</v>
      </c>
      <c r="C54" t="s">
        <v>39</v>
      </c>
      <c r="D54">
        <v>0.09</v>
      </c>
    </row>
    <row r="55" spans="1:4">
      <c r="A55" t="s">
        <v>43</v>
      </c>
      <c r="B55">
        <v>11</v>
      </c>
      <c r="C55" t="s">
        <v>40</v>
      </c>
      <c r="D55">
        <v>0.08</v>
      </c>
    </row>
    <row r="56" spans="1:4">
      <c r="A56" t="s">
        <v>43</v>
      </c>
      <c r="B56">
        <v>12</v>
      </c>
      <c r="C56" t="s">
        <v>41</v>
      </c>
      <c r="D56">
        <v>0.06</v>
      </c>
    </row>
    <row r="57" spans="1:4">
      <c r="A57" t="s">
        <v>44</v>
      </c>
      <c r="B57">
        <v>1</v>
      </c>
      <c r="C57" t="s">
        <v>28</v>
      </c>
      <c r="D57">
        <v>0.06</v>
      </c>
    </row>
    <row r="58" spans="1:4">
      <c r="A58" t="s">
        <v>44</v>
      </c>
      <c r="B58">
        <v>2</v>
      </c>
      <c r="C58" t="s">
        <v>31</v>
      </c>
      <c r="D58">
        <v>0.07000000000000001</v>
      </c>
    </row>
    <row r="59" spans="1:4">
      <c r="A59" t="s">
        <v>44</v>
      </c>
      <c r="B59">
        <v>3</v>
      </c>
      <c r="C59" t="s">
        <v>32</v>
      </c>
      <c r="D59">
        <v>0.1</v>
      </c>
    </row>
    <row r="60" spans="1:4">
      <c r="A60" t="s">
        <v>44</v>
      </c>
      <c r="B60">
        <v>4</v>
      </c>
      <c r="C60" t="s">
        <v>33</v>
      </c>
      <c r="D60">
        <v>0.12</v>
      </c>
    </row>
    <row r="61" spans="1:4">
      <c r="A61" t="s">
        <v>44</v>
      </c>
      <c r="B61">
        <v>5</v>
      </c>
      <c r="C61" t="s">
        <v>34</v>
      </c>
      <c r="D61">
        <v>0.13</v>
      </c>
    </row>
    <row r="62" spans="1:4">
      <c r="A62" t="s">
        <v>44</v>
      </c>
      <c r="B62">
        <v>6</v>
      </c>
      <c r="C62" t="s">
        <v>35</v>
      </c>
      <c r="D62">
        <v>0.11</v>
      </c>
    </row>
    <row r="63" spans="1:4">
      <c r="A63" t="s">
        <v>44</v>
      </c>
      <c r="B63">
        <v>7</v>
      </c>
      <c r="C63" t="s">
        <v>36</v>
      </c>
      <c r="D63">
        <v>0.09</v>
      </c>
    </row>
    <row r="64" spans="1:4">
      <c r="A64" t="s">
        <v>44</v>
      </c>
      <c r="B64">
        <v>8</v>
      </c>
      <c r="C64" t="s">
        <v>37</v>
      </c>
      <c r="D64">
        <v>0.07000000000000001</v>
      </c>
    </row>
    <row r="65" spans="1:4">
      <c r="A65" t="s">
        <v>44</v>
      </c>
      <c r="B65">
        <v>9</v>
      </c>
      <c r="C65" t="s">
        <v>38</v>
      </c>
      <c r="D65">
        <v>0.06</v>
      </c>
    </row>
    <row r="66" spans="1:4">
      <c r="A66" t="s">
        <v>44</v>
      </c>
      <c r="B66">
        <v>10</v>
      </c>
      <c r="C66" t="s">
        <v>39</v>
      </c>
      <c r="D66">
        <v>0.06</v>
      </c>
    </row>
    <row r="67" spans="1:4">
      <c r="A67" t="s">
        <v>44</v>
      </c>
      <c r="B67">
        <v>11</v>
      </c>
      <c r="C67" t="s">
        <v>40</v>
      </c>
      <c r="D67">
        <v>0.07000000000000001</v>
      </c>
    </row>
    <row r="68" spans="1:4">
      <c r="A68" t="s">
        <v>44</v>
      </c>
      <c r="B68">
        <v>12</v>
      </c>
      <c r="C68" t="s">
        <v>41</v>
      </c>
      <c r="D68">
        <v>0.06</v>
      </c>
    </row>
  </sheetData>
  <mergeCells count="3">
    <mergeCell ref="A1:I1"/>
    <mergeCell ref="A2:I2"/>
    <mergeCell ref="A19:E19"/>
  </mergeCells>
  <dataValidations count="1">
    <dataValidation type="list" allowBlank="1" showInputMessage="1" showErrorMessage="1" sqref="B13">
      <formula1>$A$5:$A$8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Z14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6" width="11.7109375" customWidth="1"/>
    <col min="7" max="26" width="16.7109375" customWidth="1"/>
  </cols>
  <sheetData>
    <row r="1" spans="1:26">
      <c r="A1" s="26" t="s">
        <v>0</v>
      </c>
      <c r="Z1" s="27" t="s">
        <v>1</v>
      </c>
    </row>
    <row r="3" spans="1:26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>
      <c r="A4" s="28">
        <v>45292</v>
      </c>
      <c r="B4">
        <v>2024</v>
      </c>
      <c r="C4">
        <v>1</v>
      </c>
      <c r="D4" t="s">
        <v>28</v>
      </c>
      <c r="E4" t="s">
        <v>29</v>
      </c>
      <c r="F4" t="s">
        <v>30</v>
      </c>
      <c r="G4">
        <v>11497.14</v>
      </c>
      <c r="H4">
        <v>4.3</v>
      </c>
      <c r="I4">
        <v>49437.702</v>
      </c>
      <c r="J4">
        <v>20579.8806</v>
      </c>
      <c r="K4">
        <v>28857.8214</v>
      </c>
      <c r="L4">
        <v>58.37209302325581</v>
      </c>
      <c r="M4">
        <v>20833.33333333333</v>
      </c>
      <c r="N4">
        <v>8024.488066666665</v>
      </c>
      <c r="O4">
        <v>16.23151510292017</v>
      </c>
      <c r="P4">
        <v>14038</v>
      </c>
      <c r="Q4">
        <v>97218.78999999999</v>
      </c>
      <c r="R4">
        <v>6925.4</v>
      </c>
      <c r="S4">
        <v>52700.6538</v>
      </c>
      <c r="T4">
        <v>8881.776977333331</v>
      </c>
      <c r="U4">
        <v>11957.04</v>
      </c>
    </row>
    <row r="5" spans="1:26">
      <c r="A5" s="28">
        <v>45323</v>
      </c>
      <c r="B5">
        <v>2024</v>
      </c>
      <c r="C5">
        <v>2</v>
      </c>
      <c r="D5" t="s">
        <v>31</v>
      </c>
      <c r="E5" t="s">
        <v>29</v>
      </c>
      <c r="F5" t="s">
        <v>30</v>
      </c>
      <c r="G5">
        <v>13413.33</v>
      </c>
      <c r="H5">
        <v>4.3</v>
      </c>
      <c r="I5">
        <v>57677.319</v>
      </c>
      <c r="J5">
        <v>24009.8607</v>
      </c>
      <c r="K5">
        <v>33667.4583</v>
      </c>
      <c r="L5">
        <v>58.37209302325581</v>
      </c>
      <c r="M5">
        <v>20833.33333333333</v>
      </c>
      <c r="N5">
        <v>12834.12496666667</v>
      </c>
      <c r="O5">
        <v>22.25159766296812</v>
      </c>
      <c r="P5">
        <v>14038</v>
      </c>
      <c r="Q5">
        <v>97218.78999999999</v>
      </c>
      <c r="R5">
        <v>6925.4</v>
      </c>
      <c r="S5">
        <v>61484.0961</v>
      </c>
      <c r="T5">
        <v>13973.18425133333</v>
      </c>
      <c r="U5">
        <v>13949.88</v>
      </c>
    </row>
    <row r="6" spans="1:26">
      <c r="A6" s="28">
        <v>45352</v>
      </c>
      <c r="B6">
        <v>2024</v>
      </c>
      <c r="C6">
        <v>3</v>
      </c>
      <c r="D6" t="s">
        <v>32</v>
      </c>
      <c r="E6" t="s">
        <v>29</v>
      </c>
      <c r="F6" t="s">
        <v>30</v>
      </c>
      <c r="G6">
        <v>17245.71</v>
      </c>
      <c r="H6">
        <v>4.3</v>
      </c>
      <c r="I6">
        <v>74156.553</v>
      </c>
      <c r="J6">
        <v>30869.8209</v>
      </c>
      <c r="K6">
        <v>43286.7321</v>
      </c>
      <c r="L6">
        <v>58.37209302325581</v>
      </c>
      <c r="M6">
        <v>20833.33333333333</v>
      </c>
      <c r="N6">
        <v>22453.39876666667</v>
      </c>
      <c r="O6">
        <v>30.27837440969872</v>
      </c>
      <c r="P6">
        <v>14038</v>
      </c>
      <c r="Q6">
        <v>97218.78999999999</v>
      </c>
      <c r="R6">
        <v>6925.4</v>
      </c>
      <c r="S6">
        <v>79050.9807</v>
      </c>
      <c r="T6">
        <v>24155.99879933333</v>
      </c>
      <c r="U6">
        <v>17935.56</v>
      </c>
    </row>
    <row r="7" spans="1:26">
      <c r="A7" s="28">
        <v>45383</v>
      </c>
      <c r="B7">
        <v>2024</v>
      </c>
      <c r="C7">
        <v>4</v>
      </c>
      <c r="D7" t="s">
        <v>33</v>
      </c>
      <c r="E7" t="s">
        <v>29</v>
      </c>
      <c r="F7" t="s">
        <v>30</v>
      </c>
      <c r="G7">
        <v>21078.09</v>
      </c>
      <c r="H7">
        <v>4.3</v>
      </c>
      <c r="I7">
        <v>90635.787</v>
      </c>
      <c r="J7">
        <v>37729.7811</v>
      </c>
      <c r="K7">
        <v>52906.0059</v>
      </c>
      <c r="L7">
        <v>58.37209302325581</v>
      </c>
      <c r="M7">
        <v>20833.33333333333</v>
      </c>
      <c r="N7">
        <v>32072.67256666666</v>
      </c>
      <c r="O7">
        <v>35.38632324852728</v>
      </c>
      <c r="P7">
        <v>14038</v>
      </c>
      <c r="Q7">
        <v>97218.78999999999</v>
      </c>
      <c r="R7">
        <v>6925.4</v>
      </c>
      <c r="S7">
        <v>96617.8653</v>
      </c>
      <c r="T7">
        <v>34338.81334733333</v>
      </c>
      <c r="U7">
        <v>21921.24</v>
      </c>
    </row>
    <row r="8" spans="1:26">
      <c r="A8" s="28">
        <v>45413</v>
      </c>
      <c r="B8">
        <v>2024</v>
      </c>
      <c r="C8">
        <v>5</v>
      </c>
      <c r="D8" t="s">
        <v>34</v>
      </c>
      <c r="E8" t="s">
        <v>29</v>
      </c>
      <c r="F8" t="s">
        <v>30</v>
      </c>
      <c r="G8">
        <v>22994.28</v>
      </c>
      <c r="H8">
        <v>4.3</v>
      </c>
      <c r="I8">
        <v>98875.40399999999</v>
      </c>
      <c r="J8">
        <v>41159.7612</v>
      </c>
      <c r="K8">
        <v>57715.6428</v>
      </c>
      <c r="L8">
        <v>58.37209302325581</v>
      </c>
      <c r="M8">
        <v>20833.33333333333</v>
      </c>
      <c r="N8">
        <v>36882.30946666666</v>
      </c>
      <c r="O8">
        <v>37.30180406308799</v>
      </c>
      <c r="P8">
        <v>14038</v>
      </c>
      <c r="Q8">
        <v>97218.78999999999</v>
      </c>
      <c r="R8">
        <v>6925.4</v>
      </c>
      <c r="S8">
        <v>105401.3076</v>
      </c>
      <c r="T8">
        <v>39430.22062133333</v>
      </c>
      <c r="U8">
        <v>23914.08</v>
      </c>
    </row>
    <row r="9" spans="1:26">
      <c r="A9" s="28">
        <v>45444</v>
      </c>
      <c r="B9">
        <v>2024</v>
      </c>
      <c r="C9">
        <v>6</v>
      </c>
      <c r="D9" t="s">
        <v>35</v>
      </c>
      <c r="E9" t="s">
        <v>29</v>
      </c>
      <c r="F9" t="s">
        <v>30</v>
      </c>
      <c r="G9">
        <v>21078.09</v>
      </c>
      <c r="H9">
        <v>4.3</v>
      </c>
      <c r="I9">
        <v>90635.787</v>
      </c>
      <c r="J9">
        <v>37729.7811</v>
      </c>
      <c r="K9">
        <v>52906.0059</v>
      </c>
      <c r="L9">
        <v>58.37209302325581</v>
      </c>
      <c r="M9">
        <v>20833.33333333333</v>
      </c>
      <c r="N9">
        <v>32072.67256666666</v>
      </c>
      <c r="O9">
        <v>35.38632324852728</v>
      </c>
      <c r="P9">
        <v>14038</v>
      </c>
      <c r="Q9">
        <v>97218.78999999999</v>
      </c>
      <c r="R9">
        <v>6925.4</v>
      </c>
      <c r="S9">
        <v>96617.8653</v>
      </c>
      <c r="T9">
        <v>34338.81334733333</v>
      </c>
      <c r="U9">
        <v>21921.24</v>
      </c>
    </row>
    <row r="10" spans="1:26">
      <c r="A10" s="28">
        <v>45474</v>
      </c>
      <c r="B10">
        <v>2024</v>
      </c>
      <c r="C10">
        <v>7</v>
      </c>
      <c r="D10" t="s">
        <v>36</v>
      </c>
      <c r="E10" t="s">
        <v>29</v>
      </c>
      <c r="F10" t="s">
        <v>30</v>
      </c>
      <c r="G10">
        <v>17245.71</v>
      </c>
      <c r="H10">
        <v>4.3</v>
      </c>
      <c r="I10">
        <v>74156.553</v>
      </c>
      <c r="J10">
        <v>30869.8209</v>
      </c>
      <c r="K10">
        <v>43286.7321</v>
      </c>
      <c r="L10">
        <v>58.37209302325581</v>
      </c>
      <c r="M10">
        <v>20833.33333333333</v>
      </c>
      <c r="N10">
        <v>22453.39876666667</v>
      </c>
      <c r="O10">
        <v>30.27837440969872</v>
      </c>
      <c r="P10">
        <v>14038</v>
      </c>
      <c r="Q10">
        <v>97218.78999999999</v>
      </c>
      <c r="R10">
        <v>6925.4</v>
      </c>
      <c r="S10">
        <v>79050.9807</v>
      </c>
      <c r="T10">
        <v>24155.99879933333</v>
      </c>
      <c r="U10">
        <v>17935.56</v>
      </c>
    </row>
    <row r="11" spans="1:26">
      <c r="A11" s="28">
        <v>45505</v>
      </c>
      <c r="B11">
        <v>2024</v>
      </c>
      <c r="C11">
        <v>8</v>
      </c>
      <c r="D11" t="s">
        <v>37</v>
      </c>
      <c r="E11" t="s">
        <v>29</v>
      </c>
      <c r="F11" t="s">
        <v>30</v>
      </c>
      <c r="G11">
        <v>15329.52</v>
      </c>
      <c r="H11">
        <v>4.3</v>
      </c>
      <c r="I11">
        <v>65916.936</v>
      </c>
      <c r="J11">
        <v>27439.8408</v>
      </c>
      <c r="K11">
        <v>38477.0952</v>
      </c>
      <c r="L11">
        <v>58.37209302325581</v>
      </c>
      <c r="M11">
        <v>20833.33333333333</v>
      </c>
      <c r="N11">
        <v>17643.76186666666</v>
      </c>
      <c r="O11">
        <v>26.76665958300408</v>
      </c>
      <c r="P11">
        <v>14038</v>
      </c>
      <c r="Q11">
        <v>97218.78999999999</v>
      </c>
      <c r="R11">
        <v>6925.4</v>
      </c>
      <c r="S11">
        <v>70267.5384</v>
      </c>
      <c r="T11">
        <v>19064.59152533334</v>
      </c>
      <c r="U11">
        <v>15942.72</v>
      </c>
    </row>
    <row r="12" spans="1:26">
      <c r="A12" s="28">
        <v>45536</v>
      </c>
      <c r="B12">
        <v>2024</v>
      </c>
      <c r="C12">
        <v>9</v>
      </c>
      <c r="D12" t="s">
        <v>38</v>
      </c>
      <c r="E12" t="s">
        <v>29</v>
      </c>
      <c r="F12" t="s">
        <v>30</v>
      </c>
      <c r="G12">
        <v>13413.33</v>
      </c>
      <c r="H12">
        <v>4.3</v>
      </c>
      <c r="I12">
        <v>57677.319</v>
      </c>
      <c r="J12">
        <v>24009.8607</v>
      </c>
      <c r="K12">
        <v>33667.4583</v>
      </c>
      <c r="L12">
        <v>58.37209302325581</v>
      </c>
      <c r="M12">
        <v>20833.33333333333</v>
      </c>
      <c r="N12">
        <v>12834.12496666667</v>
      </c>
      <c r="O12">
        <v>22.25159766296812</v>
      </c>
      <c r="P12">
        <v>14038</v>
      </c>
      <c r="Q12">
        <v>97218.78999999999</v>
      </c>
      <c r="R12">
        <v>6925.4</v>
      </c>
      <c r="S12">
        <v>61484.0961</v>
      </c>
      <c r="T12">
        <v>13973.18425133333</v>
      </c>
      <c r="U12">
        <v>13949.88</v>
      </c>
    </row>
    <row r="13" spans="1:26">
      <c r="A13" s="28">
        <v>45566</v>
      </c>
      <c r="B13">
        <v>2024</v>
      </c>
      <c r="C13">
        <v>10</v>
      </c>
      <c r="D13" t="s">
        <v>39</v>
      </c>
      <c r="E13" t="s">
        <v>29</v>
      </c>
      <c r="F13" t="s">
        <v>30</v>
      </c>
      <c r="G13">
        <v>13413.33</v>
      </c>
      <c r="H13">
        <v>4.3</v>
      </c>
      <c r="I13">
        <v>57677.319</v>
      </c>
      <c r="J13">
        <v>24009.8607</v>
      </c>
      <c r="K13">
        <v>33667.4583</v>
      </c>
      <c r="L13">
        <v>58.37209302325581</v>
      </c>
      <c r="M13">
        <v>20833.33333333333</v>
      </c>
      <c r="N13">
        <v>12834.12496666667</v>
      </c>
      <c r="O13">
        <v>22.25159766296812</v>
      </c>
      <c r="P13">
        <v>14038</v>
      </c>
      <c r="Q13">
        <v>97218.78999999999</v>
      </c>
      <c r="R13">
        <v>6925.4</v>
      </c>
      <c r="S13">
        <v>61484.0961</v>
      </c>
      <c r="T13">
        <v>13973.18425133333</v>
      </c>
      <c r="U13">
        <v>13949.88</v>
      </c>
    </row>
    <row r="14" spans="1:26">
      <c r="A14" s="28">
        <v>45597</v>
      </c>
      <c r="B14">
        <v>2024</v>
      </c>
      <c r="C14">
        <v>11</v>
      </c>
      <c r="D14" t="s">
        <v>40</v>
      </c>
      <c r="E14" t="s">
        <v>29</v>
      </c>
      <c r="F14" t="s">
        <v>30</v>
      </c>
      <c r="G14">
        <v>13413.33</v>
      </c>
      <c r="H14">
        <v>4.3</v>
      </c>
      <c r="I14">
        <v>57677.319</v>
      </c>
      <c r="J14">
        <v>24009.8607</v>
      </c>
      <c r="K14">
        <v>33667.4583</v>
      </c>
      <c r="L14">
        <v>58.37209302325581</v>
      </c>
      <c r="M14">
        <v>20833.33333333333</v>
      </c>
      <c r="N14">
        <v>12834.12496666667</v>
      </c>
      <c r="O14">
        <v>22.25159766296812</v>
      </c>
      <c r="P14">
        <v>14038</v>
      </c>
      <c r="Q14">
        <v>97218.78999999999</v>
      </c>
      <c r="R14">
        <v>6925.4</v>
      </c>
      <c r="S14">
        <v>61484.0961</v>
      </c>
      <c r="T14">
        <v>13973.18425133333</v>
      </c>
      <c r="U14">
        <v>13949.88</v>
      </c>
    </row>
    <row r="15" spans="1:26">
      <c r="A15" s="28">
        <v>45627</v>
      </c>
      <c r="B15">
        <v>2024</v>
      </c>
      <c r="C15">
        <v>12</v>
      </c>
      <c r="D15" t="s">
        <v>41</v>
      </c>
      <c r="E15" t="s">
        <v>29</v>
      </c>
      <c r="F15" t="s">
        <v>30</v>
      </c>
      <c r="G15">
        <v>11497.14</v>
      </c>
      <c r="H15">
        <v>4.3</v>
      </c>
      <c r="I15">
        <v>49437.702</v>
      </c>
      <c r="J15">
        <v>20579.8806</v>
      </c>
      <c r="K15">
        <v>28857.8214</v>
      </c>
      <c r="L15">
        <v>58.37209302325581</v>
      </c>
      <c r="M15">
        <v>20833.33333333333</v>
      </c>
      <c r="N15">
        <v>8024.488066666665</v>
      </c>
      <c r="O15">
        <v>16.23151510292017</v>
      </c>
      <c r="P15">
        <v>14038</v>
      </c>
      <c r="Q15">
        <v>97218.78999999999</v>
      </c>
      <c r="R15">
        <v>6925.4</v>
      </c>
      <c r="S15">
        <v>52700.6538</v>
      </c>
      <c r="T15">
        <v>8881.776977333331</v>
      </c>
      <c r="U15">
        <v>11957.04</v>
      </c>
    </row>
    <row r="16" spans="1:26">
      <c r="A16" s="28">
        <v>45292</v>
      </c>
      <c r="B16">
        <v>2024</v>
      </c>
      <c r="C16">
        <v>1</v>
      </c>
      <c r="D16" t="s">
        <v>28</v>
      </c>
      <c r="E16" t="s">
        <v>42</v>
      </c>
      <c r="F16" t="s">
        <v>30</v>
      </c>
      <c r="G16">
        <v>8900.080000000002</v>
      </c>
      <c r="H16">
        <v>4.25</v>
      </c>
      <c r="I16">
        <v>37825.34</v>
      </c>
      <c r="J16">
        <v>15664.1408</v>
      </c>
      <c r="K16">
        <v>22161.1992</v>
      </c>
      <c r="L16">
        <v>58.58823529411765</v>
      </c>
      <c r="M16">
        <v>14166.66666666667</v>
      </c>
      <c r="N16">
        <v>7994.532533333337</v>
      </c>
      <c r="O16">
        <v>21.13538842832169</v>
      </c>
      <c r="P16">
        <v>5843</v>
      </c>
      <c r="Q16">
        <v>80533.92999999999</v>
      </c>
      <c r="R16">
        <v>13783.7</v>
      </c>
      <c r="S16">
        <v>41872.79775</v>
      </c>
      <c r="T16">
        <v>9630.026624666663</v>
      </c>
      <c r="U16">
        <v>9612.120000000001</v>
      </c>
    </row>
    <row r="17" spans="1:21">
      <c r="A17" s="28">
        <v>45323</v>
      </c>
      <c r="B17">
        <v>2024</v>
      </c>
      <c r="C17">
        <v>2</v>
      </c>
      <c r="D17" t="s">
        <v>31</v>
      </c>
      <c r="E17" t="s">
        <v>42</v>
      </c>
      <c r="F17" t="s">
        <v>30</v>
      </c>
      <c r="G17">
        <v>10171.52</v>
      </c>
      <c r="H17">
        <v>4.25</v>
      </c>
      <c r="I17">
        <v>43228.96</v>
      </c>
      <c r="J17">
        <v>17901.8752</v>
      </c>
      <c r="K17">
        <v>25327.0848</v>
      </c>
      <c r="L17">
        <v>58.58823529411764</v>
      </c>
      <c r="M17">
        <v>14166.66666666667</v>
      </c>
      <c r="N17">
        <v>11160.41813333333</v>
      </c>
      <c r="O17">
        <v>25.81699428654617</v>
      </c>
      <c r="P17">
        <v>5843</v>
      </c>
      <c r="Q17">
        <v>80533.92999999999</v>
      </c>
      <c r="R17">
        <v>13783.7</v>
      </c>
      <c r="S17">
        <v>47854.626</v>
      </c>
      <c r="T17">
        <v>13110.50661866666</v>
      </c>
      <c r="U17">
        <v>10985.28</v>
      </c>
    </row>
    <row r="18" spans="1:21">
      <c r="A18" s="28">
        <v>45352</v>
      </c>
      <c r="B18">
        <v>2024</v>
      </c>
      <c r="C18">
        <v>3</v>
      </c>
      <c r="D18" t="s">
        <v>32</v>
      </c>
      <c r="E18" t="s">
        <v>42</v>
      </c>
      <c r="F18" t="s">
        <v>30</v>
      </c>
      <c r="G18">
        <v>11442.96</v>
      </c>
      <c r="H18">
        <v>4.25</v>
      </c>
      <c r="I18">
        <v>48632.58</v>
      </c>
      <c r="J18">
        <v>20139.6096</v>
      </c>
      <c r="K18">
        <v>28492.9704</v>
      </c>
      <c r="L18">
        <v>58.58823529411765</v>
      </c>
      <c r="M18">
        <v>14166.66666666667</v>
      </c>
      <c r="N18">
        <v>14326.30373333334</v>
      </c>
      <c r="O18">
        <v>29.45824328738746</v>
      </c>
      <c r="P18">
        <v>5843</v>
      </c>
      <c r="Q18">
        <v>80533.92999999999</v>
      </c>
      <c r="R18">
        <v>13783.7</v>
      </c>
      <c r="S18">
        <v>53836.45425</v>
      </c>
      <c r="T18">
        <v>16590.98661266666</v>
      </c>
      <c r="U18">
        <v>12358.44</v>
      </c>
    </row>
    <row r="19" spans="1:21">
      <c r="A19" s="28">
        <v>45383</v>
      </c>
      <c r="B19">
        <v>2024</v>
      </c>
      <c r="C19">
        <v>4</v>
      </c>
      <c r="D19" t="s">
        <v>33</v>
      </c>
      <c r="E19" t="s">
        <v>42</v>
      </c>
      <c r="F19" t="s">
        <v>30</v>
      </c>
      <c r="G19">
        <v>12714.4</v>
      </c>
      <c r="H19">
        <v>4.25</v>
      </c>
      <c r="I19">
        <v>54036.2</v>
      </c>
      <c r="J19">
        <v>22377.344</v>
      </c>
      <c r="K19">
        <v>31658.856</v>
      </c>
      <c r="L19">
        <v>58.58823529411765</v>
      </c>
      <c r="M19">
        <v>14166.66666666667</v>
      </c>
      <c r="N19">
        <v>17492.18933333334</v>
      </c>
      <c r="O19">
        <v>32.37124248806047</v>
      </c>
      <c r="P19">
        <v>5843</v>
      </c>
      <c r="Q19">
        <v>80533.92999999999</v>
      </c>
      <c r="R19">
        <v>13783.7</v>
      </c>
      <c r="S19">
        <v>59818.2825</v>
      </c>
      <c r="T19">
        <v>20071.46660666666</v>
      </c>
      <c r="U19">
        <v>13731.6</v>
      </c>
    </row>
    <row r="20" spans="1:21">
      <c r="A20" s="28">
        <v>45413</v>
      </c>
      <c r="B20">
        <v>2024</v>
      </c>
      <c r="C20">
        <v>5</v>
      </c>
      <c r="D20" t="s">
        <v>34</v>
      </c>
      <c r="E20" t="s">
        <v>42</v>
      </c>
      <c r="F20" t="s">
        <v>30</v>
      </c>
      <c r="G20">
        <v>13985.84</v>
      </c>
      <c r="H20">
        <v>4.25</v>
      </c>
      <c r="I20">
        <v>59439.82</v>
      </c>
      <c r="J20">
        <v>24615.0784</v>
      </c>
      <c r="K20">
        <v>34824.74159999999</v>
      </c>
      <c r="L20">
        <v>58.58823529411764</v>
      </c>
      <c r="M20">
        <v>14166.66666666667</v>
      </c>
      <c r="N20">
        <v>20658.07493333333</v>
      </c>
      <c r="O20">
        <v>34.7546054704293</v>
      </c>
      <c r="P20">
        <v>5843</v>
      </c>
      <c r="Q20">
        <v>80533.92999999999</v>
      </c>
      <c r="R20">
        <v>13783.7</v>
      </c>
      <c r="S20">
        <v>65800.11074999999</v>
      </c>
      <c r="T20">
        <v>23551.94660066665</v>
      </c>
      <c r="U20">
        <v>15104.76</v>
      </c>
    </row>
    <row r="21" spans="1:21">
      <c r="A21" s="28">
        <v>45444</v>
      </c>
      <c r="B21">
        <v>2024</v>
      </c>
      <c r="C21">
        <v>6</v>
      </c>
      <c r="D21" t="s">
        <v>35</v>
      </c>
      <c r="E21" t="s">
        <v>42</v>
      </c>
      <c r="F21" t="s">
        <v>30</v>
      </c>
      <c r="G21">
        <v>12714.4</v>
      </c>
      <c r="H21">
        <v>4.25</v>
      </c>
      <c r="I21">
        <v>54036.2</v>
      </c>
      <c r="J21">
        <v>22377.344</v>
      </c>
      <c r="K21">
        <v>31658.856</v>
      </c>
      <c r="L21">
        <v>58.58823529411765</v>
      </c>
      <c r="M21">
        <v>14166.66666666667</v>
      </c>
      <c r="N21">
        <v>17492.18933333334</v>
      </c>
      <c r="O21">
        <v>32.37124248806047</v>
      </c>
      <c r="P21">
        <v>5843</v>
      </c>
      <c r="Q21">
        <v>80533.92999999999</v>
      </c>
      <c r="R21">
        <v>13783.7</v>
      </c>
      <c r="S21">
        <v>59818.2825</v>
      </c>
      <c r="T21">
        <v>20071.46660666666</v>
      </c>
      <c r="U21">
        <v>13731.6</v>
      </c>
    </row>
    <row r="22" spans="1:21">
      <c r="A22" s="28">
        <v>45474</v>
      </c>
      <c r="B22">
        <v>2024</v>
      </c>
      <c r="C22">
        <v>7</v>
      </c>
      <c r="D22" t="s">
        <v>36</v>
      </c>
      <c r="E22" t="s">
        <v>42</v>
      </c>
      <c r="F22" t="s">
        <v>30</v>
      </c>
      <c r="G22">
        <v>11442.96</v>
      </c>
      <c r="H22">
        <v>4.25</v>
      </c>
      <c r="I22">
        <v>48632.58</v>
      </c>
      <c r="J22">
        <v>20139.6096</v>
      </c>
      <c r="K22">
        <v>28492.9704</v>
      </c>
      <c r="L22">
        <v>58.58823529411765</v>
      </c>
      <c r="M22">
        <v>14166.66666666667</v>
      </c>
      <c r="N22">
        <v>14326.30373333334</v>
      </c>
      <c r="O22">
        <v>29.45824328738746</v>
      </c>
      <c r="P22">
        <v>5843</v>
      </c>
      <c r="Q22">
        <v>80533.92999999999</v>
      </c>
      <c r="R22">
        <v>13783.7</v>
      </c>
      <c r="S22">
        <v>53836.45425</v>
      </c>
      <c r="T22">
        <v>16590.98661266666</v>
      </c>
      <c r="U22">
        <v>12358.44</v>
      </c>
    </row>
    <row r="23" spans="1:21">
      <c r="A23" s="28">
        <v>45505</v>
      </c>
      <c r="B23">
        <v>2024</v>
      </c>
      <c r="C23">
        <v>8</v>
      </c>
      <c r="D23" t="s">
        <v>37</v>
      </c>
      <c r="E23" t="s">
        <v>42</v>
      </c>
      <c r="F23" t="s">
        <v>30</v>
      </c>
      <c r="G23">
        <v>10171.52</v>
      </c>
      <c r="H23">
        <v>4.25</v>
      </c>
      <c r="I23">
        <v>43228.96</v>
      </c>
      <c r="J23">
        <v>17901.8752</v>
      </c>
      <c r="K23">
        <v>25327.0848</v>
      </c>
      <c r="L23">
        <v>58.58823529411764</v>
      </c>
      <c r="M23">
        <v>14166.66666666667</v>
      </c>
      <c r="N23">
        <v>11160.41813333333</v>
      </c>
      <c r="O23">
        <v>25.81699428654617</v>
      </c>
      <c r="P23">
        <v>5843</v>
      </c>
      <c r="Q23">
        <v>80533.92999999999</v>
      </c>
      <c r="R23">
        <v>13783.7</v>
      </c>
      <c r="S23">
        <v>47854.626</v>
      </c>
      <c r="T23">
        <v>13110.50661866666</v>
      </c>
      <c r="U23">
        <v>10985.28</v>
      </c>
    </row>
    <row r="24" spans="1:21">
      <c r="A24" s="28">
        <v>45536</v>
      </c>
      <c r="B24">
        <v>2024</v>
      </c>
      <c r="C24">
        <v>9</v>
      </c>
      <c r="D24" t="s">
        <v>38</v>
      </c>
      <c r="E24" t="s">
        <v>42</v>
      </c>
      <c r="F24" t="s">
        <v>30</v>
      </c>
      <c r="G24">
        <v>8900.080000000002</v>
      </c>
      <c r="H24">
        <v>4.25</v>
      </c>
      <c r="I24">
        <v>37825.34</v>
      </c>
      <c r="J24">
        <v>15664.1408</v>
      </c>
      <c r="K24">
        <v>22161.1992</v>
      </c>
      <c r="L24">
        <v>58.58823529411765</v>
      </c>
      <c r="M24">
        <v>14166.66666666667</v>
      </c>
      <c r="N24">
        <v>7994.532533333337</v>
      </c>
      <c r="O24">
        <v>21.13538842832169</v>
      </c>
      <c r="P24">
        <v>5843</v>
      </c>
      <c r="Q24">
        <v>80533.92999999999</v>
      </c>
      <c r="R24">
        <v>13783.7</v>
      </c>
      <c r="S24">
        <v>41872.79775</v>
      </c>
      <c r="T24">
        <v>9630.026624666663</v>
      </c>
      <c r="U24">
        <v>9612.120000000001</v>
      </c>
    </row>
    <row r="25" spans="1:21">
      <c r="A25" s="28">
        <v>45566</v>
      </c>
      <c r="B25">
        <v>2024</v>
      </c>
      <c r="C25">
        <v>10</v>
      </c>
      <c r="D25" t="s">
        <v>39</v>
      </c>
      <c r="E25" t="s">
        <v>42</v>
      </c>
      <c r="F25" t="s">
        <v>30</v>
      </c>
      <c r="G25">
        <v>8900.080000000002</v>
      </c>
      <c r="H25">
        <v>4.25</v>
      </c>
      <c r="I25">
        <v>37825.34</v>
      </c>
      <c r="J25">
        <v>15664.1408</v>
      </c>
      <c r="K25">
        <v>22161.1992</v>
      </c>
      <c r="L25">
        <v>58.58823529411765</v>
      </c>
      <c r="M25">
        <v>14166.66666666667</v>
      </c>
      <c r="N25">
        <v>7994.532533333337</v>
      </c>
      <c r="O25">
        <v>21.13538842832169</v>
      </c>
      <c r="P25">
        <v>5843</v>
      </c>
      <c r="Q25">
        <v>80533.92999999999</v>
      </c>
      <c r="R25">
        <v>13783.7</v>
      </c>
      <c r="S25">
        <v>41872.79775</v>
      </c>
      <c r="T25">
        <v>9630.026624666663</v>
      </c>
      <c r="U25">
        <v>9612.120000000001</v>
      </c>
    </row>
    <row r="26" spans="1:21">
      <c r="A26" s="28">
        <v>45597</v>
      </c>
      <c r="B26">
        <v>2024</v>
      </c>
      <c r="C26">
        <v>11</v>
      </c>
      <c r="D26" t="s">
        <v>40</v>
      </c>
      <c r="E26" t="s">
        <v>42</v>
      </c>
      <c r="F26" t="s">
        <v>30</v>
      </c>
      <c r="G26">
        <v>8900.080000000002</v>
      </c>
      <c r="H26">
        <v>4.25</v>
      </c>
      <c r="I26">
        <v>37825.34</v>
      </c>
      <c r="J26">
        <v>15664.1408</v>
      </c>
      <c r="K26">
        <v>22161.1992</v>
      </c>
      <c r="L26">
        <v>58.58823529411765</v>
      </c>
      <c r="M26">
        <v>14166.66666666667</v>
      </c>
      <c r="N26">
        <v>7994.532533333337</v>
      </c>
      <c r="O26">
        <v>21.13538842832169</v>
      </c>
      <c r="P26">
        <v>5843</v>
      </c>
      <c r="Q26">
        <v>80533.92999999999</v>
      </c>
      <c r="R26">
        <v>13783.7</v>
      </c>
      <c r="S26">
        <v>41872.79775</v>
      </c>
      <c r="T26">
        <v>9630.026624666663</v>
      </c>
      <c r="U26">
        <v>9612.120000000001</v>
      </c>
    </row>
    <row r="27" spans="1:21">
      <c r="A27" s="28">
        <v>45627</v>
      </c>
      <c r="B27">
        <v>2024</v>
      </c>
      <c r="C27">
        <v>12</v>
      </c>
      <c r="D27" t="s">
        <v>41</v>
      </c>
      <c r="E27" t="s">
        <v>42</v>
      </c>
      <c r="F27" t="s">
        <v>30</v>
      </c>
      <c r="G27">
        <v>8900.080000000002</v>
      </c>
      <c r="H27">
        <v>4.25</v>
      </c>
      <c r="I27">
        <v>37825.34</v>
      </c>
      <c r="J27">
        <v>15664.1408</v>
      </c>
      <c r="K27">
        <v>22161.1992</v>
      </c>
      <c r="L27">
        <v>58.58823529411765</v>
      </c>
      <c r="M27">
        <v>14166.66666666667</v>
      </c>
      <c r="N27">
        <v>7994.532533333337</v>
      </c>
      <c r="O27">
        <v>21.13538842832169</v>
      </c>
      <c r="P27">
        <v>5843</v>
      </c>
      <c r="Q27">
        <v>80533.92999999999</v>
      </c>
      <c r="R27">
        <v>13783.7</v>
      </c>
      <c r="S27">
        <v>41872.79775</v>
      </c>
      <c r="T27">
        <v>9630.026624666663</v>
      </c>
      <c r="U27">
        <v>9612.120000000001</v>
      </c>
    </row>
    <row r="28" spans="1:21">
      <c r="A28" s="28">
        <v>45292</v>
      </c>
      <c r="B28">
        <v>2024</v>
      </c>
      <c r="C28">
        <v>1</v>
      </c>
      <c r="D28" t="s">
        <v>28</v>
      </c>
      <c r="E28" t="s">
        <v>43</v>
      </c>
      <c r="F28" t="s">
        <v>30</v>
      </c>
      <c r="G28">
        <v>21719.6</v>
      </c>
      <c r="H28">
        <v>4.1</v>
      </c>
      <c r="I28">
        <v>89050.36</v>
      </c>
      <c r="J28">
        <v>37357.712</v>
      </c>
      <c r="K28">
        <v>51692.648</v>
      </c>
      <c r="L28">
        <v>58.04878048780488</v>
      </c>
      <c r="M28">
        <v>51666.66666666666</v>
      </c>
      <c r="N28">
        <v>25.98133333333681</v>
      </c>
      <c r="O28">
        <v>0.0291760003365924</v>
      </c>
      <c r="P28">
        <v>28157</v>
      </c>
      <c r="Q28">
        <v>353600</v>
      </c>
      <c r="R28">
        <v>12558.1</v>
      </c>
      <c r="S28">
        <v>102229.804875</v>
      </c>
      <c r="T28">
        <v>5191.415351666663</v>
      </c>
      <c r="U28">
        <v>24325.95</v>
      </c>
    </row>
    <row r="29" spans="1:21">
      <c r="A29" s="28">
        <v>45323</v>
      </c>
      <c r="B29">
        <v>2024</v>
      </c>
      <c r="C29">
        <v>2</v>
      </c>
      <c r="D29" t="s">
        <v>31</v>
      </c>
      <c r="E29" t="s">
        <v>43</v>
      </c>
      <c r="F29" t="s">
        <v>30</v>
      </c>
      <c r="G29">
        <v>26063.52</v>
      </c>
      <c r="H29">
        <v>4.1</v>
      </c>
      <c r="I29">
        <v>106860.432</v>
      </c>
      <c r="J29">
        <v>44829.2544</v>
      </c>
      <c r="K29">
        <v>62031.17759999999</v>
      </c>
      <c r="L29">
        <v>58.04878048780488</v>
      </c>
      <c r="M29">
        <v>51666.66666666666</v>
      </c>
      <c r="N29">
        <v>10364.51093333332</v>
      </c>
      <c r="O29">
        <v>9.699110081581296</v>
      </c>
      <c r="P29">
        <v>28157</v>
      </c>
      <c r="Q29">
        <v>353600</v>
      </c>
      <c r="R29">
        <v>12558.1</v>
      </c>
      <c r="S29">
        <v>122675.76585</v>
      </c>
      <c r="T29">
        <v>16976.36508866667</v>
      </c>
      <c r="U29">
        <v>29191.14</v>
      </c>
    </row>
    <row r="30" spans="1:21">
      <c r="A30" s="28">
        <v>45352</v>
      </c>
      <c r="B30">
        <v>2024</v>
      </c>
      <c r="C30">
        <v>3</v>
      </c>
      <c r="D30" t="s">
        <v>32</v>
      </c>
      <c r="E30" t="s">
        <v>43</v>
      </c>
      <c r="F30" t="s">
        <v>30</v>
      </c>
      <c r="G30">
        <v>30407.44</v>
      </c>
      <c r="H30">
        <v>4.1</v>
      </c>
      <c r="I30">
        <v>124670.504</v>
      </c>
      <c r="J30">
        <v>52300.7968</v>
      </c>
      <c r="K30">
        <v>72369.7072</v>
      </c>
      <c r="L30">
        <v>58.04878048780488</v>
      </c>
      <c r="M30">
        <v>51666.66666666666</v>
      </c>
      <c r="N30">
        <v>20703.04053333334</v>
      </c>
      <c r="O30">
        <v>16.60620585389896</v>
      </c>
      <c r="P30">
        <v>28157</v>
      </c>
      <c r="Q30">
        <v>353600</v>
      </c>
      <c r="R30">
        <v>12558.1</v>
      </c>
      <c r="S30">
        <v>143121.726825</v>
      </c>
      <c r="T30">
        <v>28761.31482566668</v>
      </c>
      <c r="U30">
        <v>34056.33</v>
      </c>
    </row>
    <row r="31" spans="1:21">
      <c r="A31" s="28">
        <v>45383</v>
      </c>
      <c r="B31">
        <v>2024</v>
      </c>
      <c r="C31">
        <v>4</v>
      </c>
      <c r="D31" t="s">
        <v>33</v>
      </c>
      <c r="E31" t="s">
        <v>43</v>
      </c>
      <c r="F31" t="s">
        <v>30</v>
      </c>
      <c r="G31">
        <v>34751.36</v>
      </c>
      <c r="H31">
        <v>4.1</v>
      </c>
      <c r="I31">
        <v>142480.576</v>
      </c>
      <c r="J31">
        <v>59772.3392</v>
      </c>
      <c r="K31">
        <v>82708.2368</v>
      </c>
      <c r="L31">
        <v>58.04878048780488</v>
      </c>
      <c r="M31">
        <v>51666.66666666666</v>
      </c>
      <c r="N31">
        <v>31041.57013333333</v>
      </c>
      <c r="O31">
        <v>21.7865276831372</v>
      </c>
      <c r="P31">
        <v>28157</v>
      </c>
      <c r="Q31">
        <v>353600</v>
      </c>
      <c r="R31">
        <v>12558.1</v>
      </c>
      <c r="S31">
        <v>163567.6878</v>
      </c>
      <c r="T31">
        <v>40546.26456266666</v>
      </c>
      <c r="U31">
        <v>38921.52</v>
      </c>
    </row>
    <row r="32" spans="1:21">
      <c r="A32" s="28">
        <v>45413</v>
      </c>
      <c r="B32">
        <v>2024</v>
      </c>
      <c r="C32">
        <v>5</v>
      </c>
      <c r="D32" t="s">
        <v>34</v>
      </c>
      <c r="E32" t="s">
        <v>43</v>
      </c>
      <c r="F32" t="s">
        <v>30</v>
      </c>
      <c r="G32">
        <v>39095.28</v>
      </c>
      <c r="H32">
        <v>4.1</v>
      </c>
      <c r="I32">
        <v>160290.648</v>
      </c>
      <c r="J32">
        <v>67243.88159999999</v>
      </c>
      <c r="K32">
        <v>93046.76639999999</v>
      </c>
      <c r="L32">
        <v>58.04878048780488</v>
      </c>
      <c r="M32">
        <v>51666.66666666666</v>
      </c>
      <c r="N32">
        <v>41380.09973333333</v>
      </c>
      <c r="O32">
        <v>25.81566688365583</v>
      </c>
      <c r="P32">
        <v>28157</v>
      </c>
      <c r="Q32">
        <v>353600</v>
      </c>
      <c r="R32">
        <v>12558.1</v>
      </c>
      <c r="S32">
        <v>184013.648775</v>
      </c>
      <c r="T32">
        <v>52331.21429966666</v>
      </c>
      <c r="U32">
        <v>43786.71</v>
      </c>
    </row>
    <row r="33" spans="1:21">
      <c r="A33" s="28">
        <v>45444</v>
      </c>
      <c r="B33">
        <v>2024</v>
      </c>
      <c r="C33">
        <v>6</v>
      </c>
      <c r="D33" t="s">
        <v>35</v>
      </c>
      <c r="E33" t="s">
        <v>43</v>
      </c>
      <c r="F33" t="s">
        <v>30</v>
      </c>
      <c r="G33">
        <v>43439.2</v>
      </c>
      <c r="H33">
        <v>4.1</v>
      </c>
      <c r="I33">
        <v>178100.72</v>
      </c>
      <c r="J33">
        <v>74715.424</v>
      </c>
      <c r="K33">
        <v>103385.296</v>
      </c>
      <c r="L33">
        <v>58.04878048780488</v>
      </c>
      <c r="M33">
        <v>51666.66666666666</v>
      </c>
      <c r="N33">
        <v>51718.62933333334</v>
      </c>
      <c r="O33">
        <v>29.03897824407073</v>
      </c>
      <c r="P33">
        <v>28157</v>
      </c>
      <c r="Q33">
        <v>353600</v>
      </c>
      <c r="R33">
        <v>12558.1</v>
      </c>
      <c r="S33">
        <v>204459.60975</v>
      </c>
      <c r="T33">
        <v>64116.16403666666</v>
      </c>
      <c r="U33">
        <v>48651.9</v>
      </c>
    </row>
    <row r="34" spans="1:21">
      <c r="A34" s="28">
        <v>45474</v>
      </c>
      <c r="B34">
        <v>2024</v>
      </c>
      <c r="C34">
        <v>7</v>
      </c>
      <c r="D34" t="s">
        <v>36</v>
      </c>
      <c r="E34" t="s">
        <v>43</v>
      </c>
      <c r="F34" t="s">
        <v>30</v>
      </c>
      <c r="G34">
        <v>47783.12</v>
      </c>
      <c r="H34">
        <v>4.1</v>
      </c>
      <c r="I34">
        <v>195910.792</v>
      </c>
      <c r="J34">
        <v>82186.9664</v>
      </c>
      <c r="K34">
        <v>113723.8256</v>
      </c>
      <c r="L34">
        <v>58.04878048780488</v>
      </c>
      <c r="M34">
        <v>51666.66666666666</v>
      </c>
      <c r="N34">
        <v>62057.15893333332</v>
      </c>
      <c r="O34">
        <v>31.6762329935011</v>
      </c>
      <c r="P34">
        <v>28157</v>
      </c>
      <c r="Q34">
        <v>353600</v>
      </c>
      <c r="R34">
        <v>12558.1</v>
      </c>
      <c r="S34">
        <v>224905.570725</v>
      </c>
      <c r="T34">
        <v>75901.11377366667</v>
      </c>
      <c r="U34">
        <v>53517.09</v>
      </c>
    </row>
    <row r="35" spans="1:21">
      <c r="A35" s="28">
        <v>45505</v>
      </c>
      <c r="B35">
        <v>2024</v>
      </c>
      <c r="C35">
        <v>8</v>
      </c>
      <c r="D35" t="s">
        <v>37</v>
      </c>
      <c r="E35" t="s">
        <v>43</v>
      </c>
      <c r="F35" t="s">
        <v>30</v>
      </c>
      <c r="G35">
        <v>47783.12</v>
      </c>
      <c r="H35">
        <v>4.1</v>
      </c>
      <c r="I35">
        <v>195910.792</v>
      </c>
      <c r="J35">
        <v>82186.9664</v>
      </c>
      <c r="K35">
        <v>113723.8256</v>
      </c>
      <c r="L35">
        <v>58.04878048780488</v>
      </c>
      <c r="M35">
        <v>51666.66666666666</v>
      </c>
      <c r="N35">
        <v>62057.15893333332</v>
      </c>
      <c r="O35">
        <v>31.6762329935011</v>
      </c>
      <c r="P35">
        <v>28157</v>
      </c>
      <c r="Q35">
        <v>353600</v>
      </c>
      <c r="R35">
        <v>12558.1</v>
      </c>
      <c r="S35">
        <v>224905.570725</v>
      </c>
      <c r="T35">
        <v>75901.11377366667</v>
      </c>
      <c r="U35">
        <v>53517.09</v>
      </c>
    </row>
    <row r="36" spans="1:21">
      <c r="A36" s="28">
        <v>45536</v>
      </c>
      <c r="B36">
        <v>2024</v>
      </c>
      <c r="C36">
        <v>9</v>
      </c>
      <c r="D36" t="s">
        <v>38</v>
      </c>
      <c r="E36" t="s">
        <v>43</v>
      </c>
      <c r="F36" t="s">
        <v>30</v>
      </c>
      <c r="G36">
        <v>43439.2</v>
      </c>
      <c r="H36">
        <v>4.1</v>
      </c>
      <c r="I36">
        <v>178100.72</v>
      </c>
      <c r="J36">
        <v>74715.424</v>
      </c>
      <c r="K36">
        <v>103385.296</v>
      </c>
      <c r="L36">
        <v>58.04878048780488</v>
      </c>
      <c r="M36">
        <v>51666.66666666666</v>
      </c>
      <c r="N36">
        <v>51718.62933333334</v>
      </c>
      <c r="O36">
        <v>29.03897824407073</v>
      </c>
      <c r="P36">
        <v>28157</v>
      </c>
      <c r="Q36">
        <v>353600</v>
      </c>
      <c r="R36">
        <v>12558.1</v>
      </c>
      <c r="S36">
        <v>204459.60975</v>
      </c>
      <c r="T36">
        <v>64116.16403666666</v>
      </c>
      <c r="U36">
        <v>48651.9</v>
      </c>
    </row>
    <row r="37" spans="1:21">
      <c r="A37" s="28">
        <v>45566</v>
      </c>
      <c r="B37">
        <v>2024</v>
      </c>
      <c r="C37">
        <v>10</v>
      </c>
      <c r="D37" t="s">
        <v>39</v>
      </c>
      <c r="E37" t="s">
        <v>43</v>
      </c>
      <c r="F37" t="s">
        <v>30</v>
      </c>
      <c r="G37">
        <v>39095.28</v>
      </c>
      <c r="H37">
        <v>4.1</v>
      </c>
      <c r="I37">
        <v>160290.648</v>
      </c>
      <c r="J37">
        <v>67243.88159999999</v>
      </c>
      <c r="K37">
        <v>93046.76639999999</v>
      </c>
      <c r="L37">
        <v>58.04878048780488</v>
      </c>
      <c r="M37">
        <v>51666.66666666666</v>
      </c>
      <c r="N37">
        <v>41380.09973333333</v>
      </c>
      <c r="O37">
        <v>25.81566688365583</v>
      </c>
      <c r="P37">
        <v>28157</v>
      </c>
      <c r="Q37">
        <v>353600</v>
      </c>
      <c r="R37">
        <v>12558.1</v>
      </c>
      <c r="S37">
        <v>184013.648775</v>
      </c>
      <c r="T37">
        <v>52331.21429966666</v>
      </c>
      <c r="U37">
        <v>43786.71</v>
      </c>
    </row>
    <row r="38" spans="1:21">
      <c r="A38" s="28">
        <v>45597</v>
      </c>
      <c r="B38">
        <v>2024</v>
      </c>
      <c r="C38">
        <v>11</v>
      </c>
      <c r="D38" t="s">
        <v>40</v>
      </c>
      <c r="E38" t="s">
        <v>43</v>
      </c>
      <c r="F38" t="s">
        <v>30</v>
      </c>
      <c r="G38">
        <v>34751.36</v>
      </c>
      <c r="H38">
        <v>4.1</v>
      </c>
      <c r="I38">
        <v>142480.576</v>
      </c>
      <c r="J38">
        <v>59772.3392</v>
      </c>
      <c r="K38">
        <v>82708.2368</v>
      </c>
      <c r="L38">
        <v>58.04878048780488</v>
      </c>
      <c r="M38">
        <v>51666.66666666666</v>
      </c>
      <c r="N38">
        <v>31041.57013333333</v>
      </c>
      <c r="O38">
        <v>21.7865276831372</v>
      </c>
      <c r="P38">
        <v>28157</v>
      </c>
      <c r="Q38">
        <v>353600</v>
      </c>
      <c r="R38">
        <v>12558.1</v>
      </c>
      <c r="S38">
        <v>163567.6878</v>
      </c>
      <c r="T38">
        <v>40546.26456266666</v>
      </c>
      <c r="U38">
        <v>38921.52</v>
      </c>
    </row>
    <row r="39" spans="1:21">
      <c r="A39" s="28">
        <v>45627</v>
      </c>
      <c r="B39">
        <v>2024</v>
      </c>
      <c r="C39">
        <v>12</v>
      </c>
      <c r="D39" t="s">
        <v>41</v>
      </c>
      <c r="E39" t="s">
        <v>43</v>
      </c>
      <c r="F39" t="s">
        <v>30</v>
      </c>
      <c r="G39">
        <v>26063.52</v>
      </c>
      <c r="H39">
        <v>4.1</v>
      </c>
      <c r="I39">
        <v>106860.432</v>
      </c>
      <c r="J39">
        <v>44829.2544</v>
      </c>
      <c r="K39">
        <v>62031.17759999999</v>
      </c>
      <c r="L39">
        <v>58.04878048780488</v>
      </c>
      <c r="M39">
        <v>51666.66666666666</v>
      </c>
      <c r="N39">
        <v>10364.51093333332</v>
      </c>
      <c r="O39">
        <v>9.699110081581296</v>
      </c>
      <c r="P39">
        <v>28157</v>
      </c>
      <c r="Q39">
        <v>353600</v>
      </c>
      <c r="R39">
        <v>12558.1</v>
      </c>
      <c r="S39">
        <v>122675.76585</v>
      </c>
      <c r="T39">
        <v>16976.36508866667</v>
      </c>
      <c r="U39">
        <v>29191.14</v>
      </c>
    </row>
    <row r="40" spans="1:21">
      <c r="A40" s="28">
        <v>45292</v>
      </c>
      <c r="B40">
        <v>2024</v>
      </c>
      <c r="C40">
        <v>1</v>
      </c>
      <c r="D40" t="s">
        <v>28</v>
      </c>
      <c r="E40" t="s">
        <v>44</v>
      </c>
      <c r="F40" t="s">
        <v>30</v>
      </c>
      <c r="G40">
        <v>6713.28</v>
      </c>
      <c r="H40">
        <v>4.55</v>
      </c>
      <c r="I40">
        <v>30545.424</v>
      </c>
      <c r="J40">
        <v>12419.568</v>
      </c>
      <c r="K40">
        <v>18125.856</v>
      </c>
      <c r="L40">
        <v>59.34065934065934</v>
      </c>
      <c r="M40">
        <v>13333.33333333333</v>
      </c>
      <c r="N40">
        <v>4792.522666666666</v>
      </c>
      <c r="O40">
        <v>15.68982203902839</v>
      </c>
      <c r="P40">
        <v>5180</v>
      </c>
      <c r="Q40">
        <v>60950</v>
      </c>
      <c r="R40">
        <v>11766.4</v>
      </c>
      <c r="S40">
        <v>33187.52482499999</v>
      </c>
      <c r="T40">
        <v>5695.382273333327</v>
      </c>
      <c r="U40">
        <v>7116.06</v>
      </c>
    </row>
    <row r="41" spans="1:21">
      <c r="A41" s="28">
        <v>45323</v>
      </c>
      <c r="B41">
        <v>2024</v>
      </c>
      <c r="C41">
        <v>2</v>
      </c>
      <c r="D41" t="s">
        <v>31</v>
      </c>
      <c r="E41" t="s">
        <v>44</v>
      </c>
      <c r="F41" t="s">
        <v>30</v>
      </c>
      <c r="G41">
        <v>7832.160000000001</v>
      </c>
      <c r="H41">
        <v>4.55</v>
      </c>
      <c r="I41">
        <v>35636.32800000001</v>
      </c>
      <c r="J41">
        <v>14489.496</v>
      </c>
      <c r="K41">
        <v>21146.83200000001</v>
      </c>
      <c r="L41">
        <v>59.34065934065935</v>
      </c>
      <c r="M41">
        <v>13333.33333333333</v>
      </c>
      <c r="N41">
        <v>7813.498666666675</v>
      </c>
      <c r="O41">
        <v>21.9256559392614</v>
      </c>
      <c r="P41">
        <v>5180</v>
      </c>
      <c r="Q41">
        <v>60950</v>
      </c>
      <c r="R41">
        <v>11766.4</v>
      </c>
      <c r="S41">
        <v>38718.7789625</v>
      </c>
      <c r="T41">
        <v>8955.723763333333</v>
      </c>
      <c r="U41">
        <v>8302.070000000002</v>
      </c>
    </row>
    <row r="42" spans="1:21">
      <c r="A42" s="28">
        <v>45352</v>
      </c>
      <c r="B42">
        <v>2024</v>
      </c>
      <c r="C42">
        <v>3</v>
      </c>
      <c r="D42" t="s">
        <v>32</v>
      </c>
      <c r="E42" t="s">
        <v>44</v>
      </c>
      <c r="F42" t="s">
        <v>30</v>
      </c>
      <c r="G42">
        <v>11188.8</v>
      </c>
      <c r="H42">
        <v>4.55</v>
      </c>
      <c r="I42">
        <v>50909.04000000001</v>
      </c>
      <c r="J42">
        <v>20699.28</v>
      </c>
      <c r="K42">
        <v>30209.76000000001</v>
      </c>
      <c r="L42">
        <v>59.34065934065935</v>
      </c>
      <c r="M42">
        <v>13333.33333333333</v>
      </c>
      <c r="N42">
        <v>16876.42666666667</v>
      </c>
      <c r="O42">
        <v>33.15015695968078</v>
      </c>
      <c r="P42">
        <v>5180</v>
      </c>
      <c r="Q42">
        <v>60950</v>
      </c>
      <c r="R42">
        <v>11766.4</v>
      </c>
      <c r="S42">
        <v>55312.541375</v>
      </c>
      <c r="T42">
        <v>18736.74823333333</v>
      </c>
      <c r="U42">
        <v>11860.1</v>
      </c>
    </row>
    <row r="43" spans="1:21">
      <c r="A43" s="28">
        <v>45383</v>
      </c>
      <c r="B43">
        <v>2024</v>
      </c>
      <c r="C43">
        <v>4</v>
      </c>
      <c r="D43" t="s">
        <v>33</v>
      </c>
      <c r="E43" t="s">
        <v>44</v>
      </c>
      <c r="F43" t="s">
        <v>30</v>
      </c>
      <c r="G43">
        <v>13426.56</v>
      </c>
      <c r="H43">
        <v>4.55</v>
      </c>
      <c r="I43">
        <v>61090.848</v>
      </c>
      <c r="J43">
        <v>24839.136</v>
      </c>
      <c r="K43">
        <v>36251.712</v>
      </c>
      <c r="L43">
        <v>59.34065934065934</v>
      </c>
      <c r="M43">
        <v>13333.33333333333</v>
      </c>
      <c r="N43">
        <v>22918.37866666666</v>
      </c>
      <c r="O43">
        <v>37.51524068984386</v>
      </c>
      <c r="P43">
        <v>5180</v>
      </c>
      <c r="Q43">
        <v>60950</v>
      </c>
      <c r="R43">
        <v>11766.4</v>
      </c>
      <c r="S43">
        <v>66375.04964999999</v>
      </c>
      <c r="T43">
        <v>25257.43121333332</v>
      </c>
      <c r="U43">
        <v>14232.12</v>
      </c>
    </row>
    <row r="44" spans="1:21">
      <c r="A44" s="28">
        <v>45413</v>
      </c>
      <c r="B44">
        <v>2024</v>
      </c>
      <c r="C44">
        <v>5</v>
      </c>
      <c r="D44" t="s">
        <v>34</v>
      </c>
      <c r="E44" t="s">
        <v>44</v>
      </c>
      <c r="F44" t="s">
        <v>30</v>
      </c>
      <c r="G44">
        <v>14545.44</v>
      </c>
      <c r="H44">
        <v>4.55</v>
      </c>
      <c r="I44">
        <v>66181.75200000001</v>
      </c>
      <c r="J44">
        <v>26909.064</v>
      </c>
      <c r="K44">
        <v>39272.68800000001</v>
      </c>
      <c r="L44">
        <v>59.34065934065935</v>
      </c>
      <c r="M44">
        <v>13333.33333333333</v>
      </c>
      <c r="N44">
        <v>25939.35466666668</v>
      </c>
      <c r="O44">
        <v>39.19411904759891</v>
      </c>
      <c r="P44">
        <v>5180</v>
      </c>
      <c r="Q44">
        <v>60950</v>
      </c>
      <c r="R44">
        <v>11766.4</v>
      </c>
      <c r="S44">
        <v>71906.3037875</v>
      </c>
      <c r="T44">
        <v>28517.77270333334</v>
      </c>
      <c r="U44">
        <v>15418.13</v>
      </c>
    </row>
    <row r="45" spans="1:21">
      <c r="A45" s="28">
        <v>45444</v>
      </c>
      <c r="B45">
        <v>2024</v>
      </c>
      <c r="C45">
        <v>6</v>
      </c>
      <c r="D45" t="s">
        <v>35</v>
      </c>
      <c r="E45" t="s">
        <v>44</v>
      </c>
      <c r="F45" t="s">
        <v>30</v>
      </c>
      <c r="G45">
        <v>12307.68</v>
      </c>
      <c r="H45">
        <v>4.55</v>
      </c>
      <c r="I45">
        <v>55999.944</v>
      </c>
      <c r="J45">
        <v>22769.208</v>
      </c>
      <c r="K45">
        <v>33230.736</v>
      </c>
      <c r="L45">
        <v>59.34065934065934</v>
      </c>
      <c r="M45">
        <v>13333.33333333333</v>
      </c>
      <c r="N45">
        <v>19897.40266666667</v>
      </c>
      <c r="O45">
        <v>35.53111172158792</v>
      </c>
      <c r="P45">
        <v>5180</v>
      </c>
      <c r="Q45">
        <v>60950</v>
      </c>
      <c r="R45">
        <v>11766.4</v>
      </c>
      <c r="S45">
        <v>60843.79551249999</v>
      </c>
      <c r="T45">
        <v>21997.08972333333</v>
      </c>
      <c r="U45">
        <v>13046.11</v>
      </c>
    </row>
    <row r="46" spans="1:21">
      <c r="A46" s="28">
        <v>45474</v>
      </c>
      <c r="B46">
        <v>2024</v>
      </c>
      <c r="C46">
        <v>7</v>
      </c>
      <c r="D46" t="s">
        <v>36</v>
      </c>
      <c r="E46" t="s">
        <v>44</v>
      </c>
      <c r="F46" t="s">
        <v>30</v>
      </c>
      <c r="G46">
        <v>10069.92</v>
      </c>
      <c r="H46">
        <v>4.55</v>
      </c>
      <c r="I46">
        <v>45818.136</v>
      </c>
      <c r="J46">
        <v>18629.352</v>
      </c>
      <c r="K46">
        <v>27188.784</v>
      </c>
      <c r="L46">
        <v>59.34065934065934</v>
      </c>
      <c r="M46">
        <v>13333.33333333333</v>
      </c>
      <c r="N46">
        <v>13855.45066666667</v>
      </c>
      <c r="O46">
        <v>30.24010113957204</v>
      </c>
      <c r="P46">
        <v>5180</v>
      </c>
      <c r="Q46">
        <v>60950</v>
      </c>
      <c r="R46">
        <v>11766.4</v>
      </c>
      <c r="S46">
        <v>49781.28723749999</v>
      </c>
      <c r="T46">
        <v>15476.40674333333</v>
      </c>
      <c r="U46">
        <v>10674.09</v>
      </c>
    </row>
    <row r="47" spans="1:21">
      <c r="A47" s="28">
        <v>45505</v>
      </c>
      <c r="B47">
        <v>2024</v>
      </c>
      <c r="C47">
        <v>8</v>
      </c>
      <c r="D47" t="s">
        <v>37</v>
      </c>
      <c r="E47" t="s">
        <v>44</v>
      </c>
      <c r="F47" t="s">
        <v>30</v>
      </c>
      <c r="G47">
        <v>7832.160000000001</v>
      </c>
      <c r="H47">
        <v>4.55</v>
      </c>
      <c r="I47">
        <v>35636.32800000001</v>
      </c>
      <c r="J47">
        <v>14489.496</v>
      </c>
      <c r="K47">
        <v>21146.83200000001</v>
      </c>
      <c r="L47">
        <v>59.34065934065935</v>
      </c>
      <c r="M47">
        <v>13333.33333333333</v>
      </c>
      <c r="N47">
        <v>7813.498666666675</v>
      </c>
      <c r="O47">
        <v>21.9256559392614</v>
      </c>
      <c r="P47">
        <v>5180</v>
      </c>
      <c r="Q47">
        <v>60950</v>
      </c>
      <c r="R47">
        <v>11766.4</v>
      </c>
      <c r="S47">
        <v>38718.7789625</v>
      </c>
      <c r="T47">
        <v>8955.723763333333</v>
      </c>
      <c r="U47">
        <v>8302.070000000002</v>
      </c>
    </row>
    <row r="48" spans="1:21">
      <c r="A48" s="28">
        <v>45536</v>
      </c>
      <c r="B48">
        <v>2024</v>
      </c>
      <c r="C48">
        <v>9</v>
      </c>
      <c r="D48" t="s">
        <v>38</v>
      </c>
      <c r="E48" t="s">
        <v>44</v>
      </c>
      <c r="F48" t="s">
        <v>30</v>
      </c>
      <c r="G48">
        <v>6713.28</v>
      </c>
      <c r="H48">
        <v>4.55</v>
      </c>
      <c r="I48">
        <v>30545.424</v>
      </c>
      <c r="J48">
        <v>12419.568</v>
      </c>
      <c r="K48">
        <v>18125.856</v>
      </c>
      <c r="L48">
        <v>59.34065934065934</v>
      </c>
      <c r="M48">
        <v>13333.33333333333</v>
      </c>
      <c r="N48">
        <v>4792.522666666666</v>
      </c>
      <c r="O48">
        <v>15.68982203902839</v>
      </c>
      <c r="P48">
        <v>5180</v>
      </c>
      <c r="Q48">
        <v>60950</v>
      </c>
      <c r="R48">
        <v>11766.4</v>
      </c>
      <c r="S48">
        <v>33187.52482499999</v>
      </c>
      <c r="T48">
        <v>5695.382273333327</v>
      </c>
      <c r="U48">
        <v>7116.06</v>
      </c>
    </row>
    <row r="49" spans="1:21">
      <c r="A49" s="28">
        <v>45566</v>
      </c>
      <c r="B49">
        <v>2024</v>
      </c>
      <c r="C49">
        <v>10</v>
      </c>
      <c r="D49" t="s">
        <v>39</v>
      </c>
      <c r="E49" t="s">
        <v>44</v>
      </c>
      <c r="F49" t="s">
        <v>30</v>
      </c>
      <c r="G49">
        <v>6713.28</v>
      </c>
      <c r="H49">
        <v>4.55</v>
      </c>
      <c r="I49">
        <v>30545.424</v>
      </c>
      <c r="J49">
        <v>12419.568</v>
      </c>
      <c r="K49">
        <v>18125.856</v>
      </c>
      <c r="L49">
        <v>59.34065934065934</v>
      </c>
      <c r="M49">
        <v>13333.33333333333</v>
      </c>
      <c r="N49">
        <v>4792.522666666666</v>
      </c>
      <c r="O49">
        <v>15.68982203902839</v>
      </c>
      <c r="P49">
        <v>5180</v>
      </c>
      <c r="Q49">
        <v>60950</v>
      </c>
      <c r="R49">
        <v>11766.4</v>
      </c>
      <c r="S49">
        <v>33187.52482499999</v>
      </c>
      <c r="T49">
        <v>5695.382273333327</v>
      </c>
      <c r="U49">
        <v>7116.06</v>
      </c>
    </row>
    <row r="50" spans="1:21">
      <c r="A50" s="28">
        <v>45597</v>
      </c>
      <c r="B50">
        <v>2024</v>
      </c>
      <c r="C50">
        <v>11</v>
      </c>
      <c r="D50" t="s">
        <v>40</v>
      </c>
      <c r="E50" t="s">
        <v>44</v>
      </c>
      <c r="F50" t="s">
        <v>30</v>
      </c>
      <c r="G50">
        <v>7832.160000000001</v>
      </c>
      <c r="H50">
        <v>4.55</v>
      </c>
      <c r="I50">
        <v>35636.32800000001</v>
      </c>
      <c r="J50">
        <v>14489.496</v>
      </c>
      <c r="K50">
        <v>21146.83200000001</v>
      </c>
      <c r="L50">
        <v>59.34065934065935</v>
      </c>
      <c r="M50">
        <v>13333.33333333333</v>
      </c>
      <c r="N50">
        <v>7813.498666666675</v>
      </c>
      <c r="O50">
        <v>21.9256559392614</v>
      </c>
      <c r="P50">
        <v>5180</v>
      </c>
      <c r="Q50">
        <v>60950</v>
      </c>
      <c r="R50">
        <v>11766.4</v>
      </c>
      <c r="S50">
        <v>38718.7789625</v>
      </c>
      <c r="T50">
        <v>8955.723763333333</v>
      </c>
      <c r="U50">
        <v>8302.070000000002</v>
      </c>
    </row>
    <row r="51" spans="1:21">
      <c r="A51" s="28">
        <v>45627</v>
      </c>
      <c r="B51">
        <v>2024</v>
      </c>
      <c r="C51">
        <v>12</v>
      </c>
      <c r="D51" t="s">
        <v>41</v>
      </c>
      <c r="E51" t="s">
        <v>44</v>
      </c>
      <c r="F51" t="s">
        <v>30</v>
      </c>
      <c r="G51">
        <v>6713.28</v>
      </c>
      <c r="H51">
        <v>4.55</v>
      </c>
      <c r="I51">
        <v>30545.424</v>
      </c>
      <c r="J51">
        <v>12419.568</v>
      </c>
      <c r="K51">
        <v>18125.856</v>
      </c>
      <c r="L51">
        <v>59.34065934065934</v>
      </c>
      <c r="M51">
        <v>13333.33333333333</v>
      </c>
      <c r="N51">
        <v>4792.522666666666</v>
      </c>
      <c r="O51">
        <v>15.68982203902839</v>
      </c>
      <c r="P51">
        <v>5180</v>
      </c>
      <c r="Q51">
        <v>60950</v>
      </c>
      <c r="R51">
        <v>11766.4</v>
      </c>
      <c r="S51">
        <v>33187.52482499999</v>
      </c>
      <c r="T51">
        <v>5695.382273333327</v>
      </c>
      <c r="U51">
        <v>7116.06</v>
      </c>
    </row>
    <row r="52" spans="1:21">
      <c r="A52" s="28">
        <v>45658</v>
      </c>
      <c r="B52">
        <v>2025</v>
      </c>
      <c r="C52">
        <v>1</v>
      </c>
      <c r="D52" t="s">
        <v>28</v>
      </c>
      <c r="E52" t="s">
        <v>29</v>
      </c>
      <c r="F52" t="s">
        <v>45</v>
      </c>
      <c r="G52">
        <v>11957.04</v>
      </c>
      <c r="H52">
        <v>4.4075</v>
      </c>
      <c r="I52">
        <v>52700.6538</v>
      </c>
      <c r="J52">
        <v>22152.210156</v>
      </c>
      <c r="K52">
        <v>30548.443644</v>
      </c>
      <c r="L52">
        <v>57.96596710153148</v>
      </c>
      <c r="M52">
        <v>21666.66666666667</v>
      </c>
      <c r="N52">
        <v>8881.776977333331</v>
      </c>
      <c r="O52">
        <v>16.85325766742828</v>
      </c>
      <c r="P52">
        <v>14038</v>
      </c>
      <c r="Q52">
        <v>97218.78999999999</v>
      </c>
      <c r="R52">
        <v>6925.4</v>
      </c>
      <c r="S52">
        <v>52700.6538</v>
      </c>
      <c r="T52">
        <v>8881.776977333331</v>
      </c>
      <c r="U52">
        <v>11957.04</v>
      </c>
    </row>
    <row r="53" spans="1:21">
      <c r="A53" s="28">
        <v>45689</v>
      </c>
      <c r="B53">
        <v>2025</v>
      </c>
      <c r="C53">
        <v>2</v>
      </c>
      <c r="D53" t="s">
        <v>31</v>
      </c>
      <c r="E53" t="s">
        <v>29</v>
      </c>
      <c r="F53" t="s">
        <v>45</v>
      </c>
      <c r="G53">
        <v>13949.88</v>
      </c>
      <c r="H53">
        <v>4.4075</v>
      </c>
      <c r="I53">
        <v>61484.0961</v>
      </c>
      <c r="J53">
        <v>25844.245182</v>
      </c>
      <c r="K53">
        <v>35639.850918</v>
      </c>
      <c r="L53">
        <v>57.96596710153147</v>
      </c>
      <c r="M53">
        <v>21666.66666666667</v>
      </c>
      <c r="N53">
        <v>13973.18425133333</v>
      </c>
      <c r="O53">
        <v>22.72650187230015</v>
      </c>
      <c r="P53">
        <v>14038</v>
      </c>
      <c r="Q53">
        <v>97218.78999999999</v>
      </c>
      <c r="R53">
        <v>6925.4</v>
      </c>
      <c r="S53">
        <v>61484.0961</v>
      </c>
      <c r="T53">
        <v>13973.18425133333</v>
      </c>
      <c r="U53">
        <v>13949.88</v>
      </c>
    </row>
    <row r="54" spans="1:21">
      <c r="A54" s="28">
        <v>45717</v>
      </c>
      <c r="B54">
        <v>2025</v>
      </c>
      <c r="C54">
        <v>3</v>
      </c>
      <c r="D54" t="s">
        <v>32</v>
      </c>
      <c r="E54" t="s">
        <v>29</v>
      </c>
      <c r="F54" t="s">
        <v>45</v>
      </c>
      <c r="G54">
        <v>17935.56</v>
      </c>
      <c r="H54">
        <v>4.4075</v>
      </c>
      <c r="I54">
        <v>79050.9807</v>
      </c>
      <c r="J54">
        <v>33228.315234</v>
      </c>
      <c r="K54">
        <v>45822.665466</v>
      </c>
      <c r="L54">
        <v>57.96596710153148</v>
      </c>
      <c r="M54">
        <v>21666.66666666667</v>
      </c>
      <c r="N54">
        <v>24155.99879933333</v>
      </c>
      <c r="O54">
        <v>30.55749414546268</v>
      </c>
      <c r="P54">
        <v>14038</v>
      </c>
      <c r="Q54">
        <v>97218.78999999999</v>
      </c>
      <c r="R54">
        <v>6925.4</v>
      </c>
      <c r="S54">
        <v>79050.9807</v>
      </c>
      <c r="T54">
        <v>24155.99879933333</v>
      </c>
      <c r="U54">
        <v>17935.56</v>
      </c>
    </row>
    <row r="55" spans="1:21">
      <c r="A55" s="28">
        <v>45748</v>
      </c>
      <c r="B55">
        <v>2025</v>
      </c>
      <c r="C55">
        <v>4</v>
      </c>
      <c r="D55" t="s">
        <v>33</v>
      </c>
      <c r="E55" t="s">
        <v>29</v>
      </c>
      <c r="F55" t="s">
        <v>45</v>
      </c>
      <c r="G55">
        <v>21921.24</v>
      </c>
      <c r="H55">
        <v>4.4075</v>
      </c>
      <c r="I55">
        <v>96617.8653</v>
      </c>
      <c r="J55">
        <v>40612.385286</v>
      </c>
      <c r="K55">
        <v>56005.480014</v>
      </c>
      <c r="L55">
        <v>57.96596710153148</v>
      </c>
      <c r="M55">
        <v>21666.66666666667</v>
      </c>
      <c r="N55">
        <v>34338.81334733333</v>
      </c>
      <c r="O55">
        <v>35.54085286474791</v>
      </c>
      <c r="P55">
        <v>14038</v>
      </c>
      <c r="Q55">
        <v>97218.78999999999</v>
      </c>
      <c r="R55">
        <v>6925.4</v>
      </c>
      <c r="S55">
        <v>96617.8653</v>
      </c>
      <c r="T55">
        <v>34338.81334733333</v>
      </c>
      <c r="U55">
        <v>21921.24</v>
      </c>
    </row>
    <row r="56" spans="1:21">
      <c r="A56" s="28">
        <v>45778</v>
      </c>
      <c r="B56">
        <v>2025</v>
      </c>
      <c r="C56">
        <v>5</v>
      </c>
      <c r="D56" t="s">
        <v>34</v>
      </c>
      <c r="E56" t="s">
        <v>29</v>
      </c>
      <c r="F56" t="s">
        <v>45</v>
      </c>
      <c r="G56">
        <v>23914.08</v>
      </c>
      <c r="H56">
        <v>4.4075</v>
      </c>
      <c r="I56">
        <v>105401.3076</v>
      </c>
      <c r="J56">
        <v>44304.420312</v>
      </c>
      <c r="K56">
        <v>61096.887288</v>
      </c>
      <c r="L56">
        <v>57.96596710153148</v>
      </c>
      <c r="M56">
        <v>21666.66666666667</v>
      </c>
      <c r="N56">
        <v>39430.22062133333</v>
      </c>
      <c r="O56">
        <v>37.40961238447987</v>
      </c>
      <c r="P56">
        <v>14038</v>
      </c>
      <c r="Q56">
        <v>97218.78999999999</v>
      </c>
      <c r="R56">
        <v>6925.4</v>
      </c>
      <c r="S56">
        <v>105401.3076</v>
      </c>
      <c r="T56">
        <v>39430.22062133333</v>
      </c>
      <c r="U56">
        <v>23914.08</v>
      </c>
    </row>
    <row r="57" spans="1:21">
      <c r="A57" s="28">
        <v>45809</v>
      </c>
      <c r="B57">
        <v>2025</v>
      </c>
      <c r="C57">
        <v>6</v>
      </c>
      <c r="D57" t="s">
        <v>35</v>
      </c>
      <c r="E57" t="s">
        <v>29</v>
      </c>
      <c r="F57" t="s">
        <v>45</v>
      </c>
      <c r="G57">
        <v>21921.24</v>
      </c>
      <c r="H57">
        <v>4.4075</v>
      </c>
      <c r="I57">
        <v>96617.8653</v>
      </c>
      <c r="J57">
        <v>40612.385286</v>
      </c>
      <c r="K57">
        <v>56005.480014</v>
      </c>
      <c r="L57">
        <v>57.96596710153148</v>
      </c>
      <c r="M57">
        <v>21666.66666666667</v>
      </c>
      <c r="N57">
        <v>34338.81334733333</v>
      </c>
      <c r="O57">
        <v>35.54085286474791</v>
      </c>
      <c r="P57">
        <v>14038</v>
      </c>
      <c r="Q57">
        <v>97218.78999999999</v>
      </c>
      <c r="R57">
        <v>6925.4</v>
      </c>
      <c r="S57">
        <v>96617.8653</v>
      </c>
      <c r="T57">
        <v>34338.81334733333</v>
      </c>
      <c r="U57">
        <v>21921.24</v>
      </c>
    </row>
    <row r="58" spans="1:21">
      <c r="A58" s="28">
        <v>45839</v>
      </c>
      <c r="B58">
        <v>2025</v>
      </c>
      <c r="C58">
        <v>7</v>
      </c>
      <c r="D58" t="s">
        <v>36</v>
      </c>
      <c r="E58" t="s">
        <v>29</v>
      </c>
      <c r="F58" t="s">
        <v>45</v>
      </c>
      <c r="G58">
        <v>17935.56</v>
      </c>
      <c r="H58">
        <v>4.4075</v>
      </c>
      <c r="I58">
        <v>79050.9807</v>
      </c>
      <c r="J58">
        <v>33228.315234</v>
      </c>
      <c r="K58">
        <v>45822.665466</v>
      </c>
      <c r="L58">
        <v>57.96596710153148</v>
      </c>
      <c r="M58">
        <v>21666.66666666667</v>
      </c>
      <c r="N58">
        <v>24155.99879933333</v>
      </c>
      <c r="O58">
        <v>30.55749414546268</v>
      </c>
      <c r="P58">
        <v>14038</v>
      </c>
      <c r="Q58">
        <v>97218.78999999999</v>
      </c>
      <c r="R58">
        <v>6925.4</v>
      </c>
      <c r="S58">
        <v>79050.9807</v>
      </c>
      <c r="T58">
        <v>24155.99879933333</v>
      </c>
      <c r="U58">
        <v>17935.56</v>
      </c>
    </row>
    <row r="59" spans="1:21">
      <c r="A59" s="28">
        <v>45870</v>
      </c>
      <c r="B59">
        <v>2025</v>
      </c>
      <c r="C59">
        <v>8</v>
      </c>
      <c r="D59" t="s">
        <v>37</v>
      </c>
      <c r="E59" t="s">
        <v>29</v>
      </c>
      <c r="F59" t="s">
        <v>45</v>
      </c>
      <c r="G59">
        <v>15942.72</v>
      </c>
      <c r="H59">
        <v>4.4075</v>
      </c>
      <c r="I59">
        <v>70267.5384</v>
      </c>
      <c r="J59">
        <v>29536.280208</v>
      </c>
      <c r="K59">
        <v>40731.25819200001</v>
      </c>
      <c r="L59">
        <v>57.96596710153149</v>
      </c>
      <c r="M59">
        <v>21666.66666666667</v>
      </c>
      <c r="N59">
        <v>19064.59152533334</v>
      </c>
      <c r="O59">
        <v>27.13143502595409</v>
      </c>
      <c r="P59">
        <v>14038</v>
      </c>
      <c r="Q59">
        <v>97218.78999999999</v>
      </c>
      <c r="R59">
        <v>6925.4</v>
      </c>
      <c r="S59">
        <v>70267.5384</v>
      </c>
      <c r="T59">
        <v>19064.59152533334</v>
      </c>
      <c r="U59">
        <v>15942.72</v>
      </c>
    </row>
    <row r="60" spans="1:21">
      <c r="A60" s="28">
        <v>45901</v>
      </c>
      <c r="B60">
        <v>2025</v>
      </c>
      <c r="C60">
        <v>9</v>
      </c>
      <c r="D60" t="s">
        <v>38</v>
      </c>
      <c r="E60" t="s">
        <v>29</v>
      </c>
      <c r="F60" t="s">
        <v>45</v>
      </c>
      <c r="G60">
        <v>13949.88</v>
      </c>
      <c r="H60">
        <v>4.4075</v>
      </c>
      <c r="I60">
        <v>61484.0961</v>
      </c>
      <c r="J60">
        <v>25844.245182</v>
      </c>
      <c r="K60">
        <v>35639.850918</v>
      </c>
      <c r="L60">
        <v>57.96596710153147</v>
      </c>
      <c r="M60">
        <v>21666.66666666667</v>
      </c>
      <c r="N60">
        <v>13973.18425133333</v>
      </c>
      <c r="O60">
        <v>22.72650187230015</v>
      </c>
      <c r="P60">
        <v>14038</v>
      </c>
      <c r="Q60">
        <v>97218.78999999999</v>
      </c>
      <c r="R60">
        <v>6925.4</v>
      </c>
      <c r="S60">
        <v>61484.0961</v>
      </c>
      <c r="T60">
        <v>13973.18425133333</v>
      </c>
      <c r="U60">
        <v>13949.88</v>
      </c>
    </row>
    <row r="61" spans="1:21">
      <c r="A61" s="28">
        <v>45931</v>
      </c>
      <c r="B61">
        <v>2025</v>
      </c>
      <c r="C61">
        <v>10</v>
      </c>
      <c r="D61" t="s">
        <v>39</v>
      </c>
      <c r="E61" t="s">
        <v>29</v>
      </c>
      <c r="F61" t="s">
        <v>45</v>
      </c>
      <c r="G61">
        <v>13949.88</v>
      </c>
      <c r="H61">
        <v>4.4075</v>
      </c>
      <c r="I61">
        <v>61484.0961</v>
      </c>
      <c r="J61">
        <v>25844.245182</v>
      </c>
      <c r="K61">
        <v>35639.850918</v>
      </c>
      <c r="L61">
        <v>57.96596710153147</v>
      </c>
      <c r="M61">
        <v>21666.66666666667</v>
      </c>
      <c r="N61">
        <v>13973.18425133333</v>
      </c>
      <c r="O61">
        <v>22.72650187230015</v>
      </c>
      <c r="P61">
        <v>14038</v>
      </c>
      <c r="Q61">
        <v>97218.78999999999</v>
      </c>
      <c r="R61">
        <v>6925.4</v>
      </c>
      <c r="S61">
        <v>61484.0961</v>
      </c>
      <c r="T61">
        <v>13973.18425133333</v>
      </c>
      <c r="U61">
        <v>13949.88</v>
      </c>
    </row>
    <row r="62" spans="1:21">
      <c r="A62" s="28">
        <v>45962</v>
      </c>
      <c r="B62">
        <v>2025</v>
      </c>
      <c r="C62">
        <v>11</v>
      </c>
      <c r="D62" t="s">
        <v>40</v>
      </c>
      <c r="E62" t="s">
        <v>29</v>
      </c>
      <c r="F62" t="s">
        <v>45</v>
      </c>
      <c r="G62">
        <v>13949.88</v>
      </c>
      <c r="H62">
        <v>4.4075</v>
      </c>
      <c r="I62">
        <v>61484.0961</v>
      </c>
      <c r="J62">
        <v>25844.245182</v>
      </c>
      <c r="K62">
        <v>35639.850918</v>
      </c>
      <c r="L62">
        <v>57.96596710153147</v>
      </c>
      <c r="M62">
        <v>21666.66666666667</v>
      </c>
      <c r="N62">
        <v>13973.18425133333</v>
      </c>
      <c r="O62">
        <v>22.72650187230015</v>
      </c>
      <c r="P62">
        <v>14038</v>
      </c>
      <c r="Q62">
        <v>97218.78999999999</v>
      </c>
      <c r="R62">
        <v>6925.4</v>
      </c>
      <c r="S62">
        <v>61484.0961</v>
      </c>
      <c r="T62">
        <v>13973.18425133333</v>
      </c>
      <c r="U62">
        <v>13949.88</v>
      </c>
    </row>
    <row r="63" spans="1:21">
      <c r="A63" s="28">
        <v>45992</v>
      </c>
      <c r="B63">
        <v>2025</v>
      </c>
      <c r="C63">
        <v>12</v>
      </c>
      <c r="D63" t="s">
        <v>41</v>
      </c>
      <c r="E63" t="s">
        <v>29</v>
      </c>
      <c r="F63" t="s">
        <v>45</v>
      </c>
      <c r="G63">
        <v>11957.04</v>
      </c>
      <c r="H63">
        <v>4.4075</v>
      </c>
      <c r="I63">
        <v>52700.6538</v>
      </c>
      <c r="J63">
        <v>22152.210156</v>
      </c>
      <c r="K63">
        <v>30548.443644</v>
      </c>
      <c r="L63">
        <v>57.96596710153148</v>
      </c>
      <c r="M63">
        <v>21666.66666666667</v>
      </c>
      <c r="N63">
        <v>8881.776977333331</v>
      </c>
      <c r="O63">
        <v>16.85325766742828</v>
      </c>
      <c r="P63">
        <v>14038</v>
      </c>
      <c r="Q63">
        <v>97218.78999999999</v>
      </c>
      <c r="R63">
        <v>6925.4</v>
      </c>
      <c r="S63">
        <v>52700.6538</v>
      </c>
      <c r="T63">
        <v>8881.776977333331</v>
      </c>
      <c r="U63">
        <v>11957.04</v>
      </c>
    </row>
    <row r="64" spans="1:21">
      <c r="A64" s="28">
        <v>45658</v>
      </c>
      <c r="B64">
        <v>2025</v>
      </c>
      <c r="C64">
        <v>1</v>
      </c>
      <c r="D64" t="s">
        <v>28</v>
      </c>
      <c r="E64" t="s">
        <v>42</v>
      </c>
      <c r="F64" t="s">
        <v>45</v>
      </c>
      <c r="G64">
        <v>9612.120000000001</v>
      </c>
      <c r="H64">
        <v>4.356249999999999</v>
      </c>
      <c r="I64">
        <v>41872.79775</v>
      </c>
      <c r="J64">
        <v>17509.437792</v>
      </c>
      <c r="K64">
        <v>24363.359958</v>
      </c>
      <c r="L64">
        <v>58.1842180774749</v>
      </c>
      <c r="M64">
        <v>14733.33333333333</v>
      </c>
      <c r="N64">
        <v>9630.026624666663</v>
      </c>
      <c r="O64">
        <v>22.9982880106612</v>
      </c>
      <c r="P64">
        <v>5843</v>
      </c>
      <c r="Q64">
        <v>80533.92999999999</v>
      </c>
      <c r="R64">
        <v>13783.7</v>
      </c>
      <c r="S64">
        <v>41872.79775</v>
      </c>
      <c r="T64">
        <v>9630.026624666663</v>
      </c>
      <c r="U64">
        <v>9612.120000000001</v>
      </c>
    </row>
    <row r="65" spans="1:21">
      <c r="A65" s="28">
        <v>45689</v>
      </c>
      <c r="B65">
        <v>2025</v>
      </c>
      <c r="C65">
        <v>2</v>
      </c>
      <c r="D65" t="s">
        <v>31</v>
      </c>
      <c r="E65" t="s">
        <v>42</v>
      </c>
      <c r="F65" t="s">
        <v>45</v>
      </c>
      <c r="G65">
        <v>10985.28</v>
      </c>
      <c r="H65">
        <v>4.356249999999999</v>
      </c>
      <c r="I65">
        <v>47854.626</v>
      </c>
      <c r="J65">
        <v>20010.786048</v>
      </c>
      <c r="K65">
        <v>27843.83995199999</v>
      </c>
      <c r="L65">
        <v>58.18421807747488</v>
      </c>
      <c r="M65">
        <v>14733.33333333333</v>
      </c>
      <c r="N65">
        <v>13110.50661866666</v>
      </c>
      <c r="O65">
        <v>27.39652926901291</v>
      </c>
      <c r="P65">
        <v>5843</v>
      </c>
      <c r="Q65">
        <v>80533.92999999999</v>
      </c>
      <c r="R65">
        <v>13783.7</v>
      </c>
      <c r="S65">
        <v>47854.626</v>
      </c>
      <c r="T65">
        <v>13110.50661866666</v>
      </c>
      <c r="U65">
        <v>10985.28</v>
      </c>
    </row>
    <row r="66" spans="1:21">
      <c r="A66" s="28">
        <v>45717</v>
      </c>
      <c r="B66">
        <v>2025</v>
      </c>
      <c r="C66">
        <v>3</v>
      </c>
      <c r="D66" t="s">
        <v>32</v>
      </c>
      <c r="E66" t="s">
        <v>42</v>
      </c>
      <c r="F66" t="s">
        <v>45</v>
      </c>
      <c r="G66">
        <v>12358.44</v>
      </c>
      <c r="H66">
        <v>4.356249999999999</v>
      </c>
      <c r="I66">
        <v>53836.45425</v>
      </c>
      <c r="J66">
        <v>22512.134304</v>
      </c>
      <c r="K66">
        <v>31324.319946</v>
      </c>
      <c r="L66">
        <v>58.1842180774749</v>
      </c>
      <c r="M66">
        <v>14733.33333333333</v>
      </c>
      <c r="N66">
        <v>16590.98661266666</v>
      </c>
      <c r="O66">
        <v>30.81738358106424</v>
      </c>
      <c r="P66">
        <v>5843</v>
      </c>
      <c r="Q66">
        <v>80533.92999999999</v>
      </c>
      <c r="R66">
        <v>13783.7</v>
      </c>
      <c r="S66">
        <v>53836.45425</v>
      </c>
      <c r="T66">
        <v>16590.98661266666</v>
      </c>
      <c r="U66">
        <v>12358.44</v>
      </c>
    </row>
    <row r="67" spans="1:21">
      <c r="A67" s="28">
        <v>45748</v>
      </c>
      <c r="B67">
        <v>2025</v>
      </c>
      <c r="C67">
        <v>4</v>
      </c>
      <c r="D67" t="s">
        <v>33</v>
      </c>
      <c r="E67" t="s">
        <v>42</v>
      </c>
      <c r="F67" t="s">
        <v>45</v>
      </c>
      <c r="G67">
        <v>13731.6</v>
      </c>
      <c r="H67">
        <v>4.356249999999999</v>
      </c>
      <c r="I67">
        <v>59818.2825</v>
      </c>
      <c r="J67">
        <v>25013.48256</v>
      </c>
      <c r="K67">
        <v>34804.79994</v>
      </c>
      <c r="L67">
        <v>58.1842180774749</v>
      </c>
      <c r="M67">
        <v>14733.33333333333</v>
      </c>
      <c r="N67">
        <v>20071.46660666666</v>
      </c>
      <c r="O67">
        <v>33.5540670307053</v>
      </c>
      <c r="P67">
        <v>5843</v>
      </c>
      <c r="Q67">
        <v>80533.92999999999</v>
      </c>
      <c r="R67">
        <v>13783.7</v>
      </c>
      <c r="S67">
        <v>59818.2825</v>
      </c>
      <c r="T67">
        <v>20071.46660666666</v>
      </c>
      <c r="U67">
        <v>13731.6</v>
      </c>
    </row>
    <row r="68" spans="1:21">
      <c r="A68" s="28">
        <v>45778</v>
      </c>
      <c r="B68">
        <v>2025</v>
      </c>
      <c r="C68">
        <v>5</v>
      </c>
      <c r="D68" t="s">
        <v>34</v>
      </c>
      <c r="E68" t="s">
        <v>42</v>
      </c>
      <c r="F68" t="s">
        <v>45</v>
      </c>
      <c r="G68">
        <v>15104.76</v>
      </c>
      <c r="H68">
        <v>4.356249999999999</v>
      </c>
      <c r="I68">
        <v>65800.11074999999</v>
      </c>
      <c r="J68">
        <v>27514.830816</v>
      </c>
      <c r="K68">
        <v>38285.27993399999</v>
      </c>
      <c r="L68">
        <v>58.18421807747488</v>
      </c>
      <c r="M68">
        <v>14733.33333333333</v>
      </c>
      <c r="N68">
        <v>23551.94660066665</v>
      </c>
      <c r="O68">
        <v>35.79317167132071</v>
      </c>
      <c r="P68">
        <v>5843</v>
      </c>
      <c r="Q68">
        <v>80533.92999999999</v>
      </c>
      <c r="R68">
        <v>13783.7</v>
      </c>
      <c r="S68">
        <v>65800.11074999999</v>
      </c>
      <c r="T68">
        <v>23551.94660066665</v>
      </c>
      <c r="U68">
        <v>15104.76</v>
      </c>
    </row>
    <row r="69" spans="1:21">
      <c r="A69" s="28">
        <v>45809</v>
      </c>
      <c r="B69">
        <v>2025</v>
      </c>
      <c r="C69">
        <v>6</v>
      </c>
      <c r="D69" t="s">
        <v>35</v>
      </c>
      <c r="E69" t="s">
        <v>42</v>
      </c>
      <c r="F69" t="s">
        <v>45</v>
      </c>
      <c r="G69">
        <v>13731.6</v>
      </c>
      <c r="H69">
        <v>4.356249999999999</v>
      </c>
      <c r="I69">
        <v>59818.2825</v>
      </c>
      <c r="J69">
        <v>25013.48256</v>
      </c>
      <c r="K69">
        <v>34804.79994</v>
      </c>
      <c r="L69">
        <v>58.1842180774749</v>
      </c>
      <c r="M69">
        <v>14733.33333333333</v>
      </c>
      <c r="N69">
        <v>20071.46660666666</v>
      </c>
      <c r="O69">
        <v>33.5540670307053</v>
      </c>
      <c r="P69">
        <v>5843</v>
      </c>
      <c r="Q69">
        <v>80533.92999999999</v>
      </c>
      <c r="R69">
        <v>13783.7</v>
      </c>
      <c r="S69">
        <v>59818.2825</v>
      </c>
      <c r="T69">
        <v>20071.46660666666</v>
      </c>
      <c r="U69">
        <v>13731.6</v>
      </c>
    </row>
    <row r="70" spans="1:21">
      <c r="A70" s="28">
        <v>45839</v>
      </c>
      <c r="B70">
        <v>2025</v>
      </c>
      <c r="C70">
        <v>7</v>
      </c>
      <c r="D70" t="s">
        <v>36</v>
      </c>
      <c r="E70" t="s">
        <v>42</v>
      </c>
      <c r="F70" t="s">
        <v>45</v>
      </c>
      <c r="G70">
        <v>12358.44</v>
      </c>
      <c r="H70">
        <v>4.356249999999999</v>
      </c>
      <c r="I70">
        <v>53836.45425</v>
      </c>
      <c r="J70">
        <v>22512.134304</v>
      </c>
      <c r="K70">
        <v>31324.319946</v>
      </c>
      <c r="L70">
        <v>58.1842180774749</v>
      </c>
      <c r="M70">
        <v>14733.33333333333</v>
      </c>
      <c r="N70">
        <v>16590.98661266666</v>
      </c>
      <c r="O70">
        <v>30.81738358106424</v>
      </c>
      <c r="P70">
        <v>5843</v>
      </c>
      <c r="Q70">
        <v>80533.92999999999</v>
      </c>
      <c r="R70">
        <v>13783.7</v>
      </c>
      <c r="S70">
        <v>53836.45425</v>
      </c>
      <c r="T70">
        <v>16590.98661266666</v>
      </c>
      <c r="U70">
        <v>12358.44</v>
      </c>
    </row>
    <row r="71" spans="1:21">
      <c r="A71" s="28">
        <v>45870</v>
      </c>
      <c r="B71">
        <v>2025</v>
      </c>
      <c r="C71">
        <v>8</v>
      </c>
      <c r="D71" t="s">
        <v>37</v>
      </c>
      <c r="E71" t="s">
        <v>42</v>
      </c>
      <c r="F71" t="s">
        <v>45</v>
      </c>
      <c r="G71">
        <v>10985.28</v>
      </c>
      <c r="H71">
        <v>4.356249999999999</v>
      </c>
      <c r="I71">
        <v>47854.626</v>
      </c>
      <c r="J71">
        <v>20010.786048</v>
      </c>
      <c r="K71">
        <v>27843.83995199999</v>
      </c>
      <c r="L71">
        <v>58.18421807747488</v>
      </c>
      <c r="M71">
        <v>14733.33333333333</v>
      </c>
      <c r="N71">
        <v>13110.50661866666</v>
      </c>
      <c r="O71">
        <v>27.39652926901291</v>
      </c>
      <c r="P71">
        <v>5843</v>
      </c>
      <c r="Q71">
        <v>80533.92999999999</v>
      </c>
      <c r="R71">
        <v>13783.7</v>
      </c>
      <c r="S71">
        <v>47854.626</v>
      </c>
      <c r="T71">
        <v>13110.50661866666</v>
      </c>
      <c r="U71">
        <v>10985.28</v>
      </c>
    </row>
    <row r="72" spans="1:21">
      <c r="A72" s="28">
        <v>45901</v>
      </c>
      <c r="B72">
        <v>2025</v>
      </c>
      <c r="C72">
        <v>9</v>
      </c>
      <c r="D72" t="s">
        <v>38</v>
      </c>
      <c r="E72" t="s">
        <v>42</v>
      </c>
      <c r="F72" t="s">
        <v>45</v>
      </c>
      <c r="G72">
        <v>9612.120000000001</v>
      </c>
      <c r="H72">
        <v>4.356249999999999</v>
      </c>
      <c r="I72">
        <v>41872.79775</v>
      </c>
      <c r="J72">
        <v>17509.437792</v>
      </c>
      <c r="K72">
        <v>24363.359958</v>
      </c>
      <c r="L72">
        <v>58.1842180774749</v>
      </c>
      <c r="M72">
        <v>14733.33333333333</v>
      </c>
      <c r="N72">
        <v>9630.026624666663</v>
      </c>
      <c r="O72">
        <v>22.9982880106612</v>
      </c>
      <c r="P72">
        <v>5843</v>
      </c>
      <c r="Q72">
        <v>80533.92999999999</v>
      </c>
      <c r="R72">
        <v>13783.7</v>
      </c>
      <c r="S72">
        <v>41872.79775</v>
      </c>
      <c r="T72">
        <v>9630.026624666663</v>
      </c>
      <c r="U72">
        <v>9612.120000000001</v>
      </c>
    </row>
    <row r="73" spans="1:21">
      <c r="A73" s="28">
        <v>45931</v>
      </c>
      <c r="B73">
        <v>2025</v>
      </c>
      <c r="C73">
        <v>10</v>
      </c>
      <c r="D73" t="s">
        <v>39</v>
      </c>
      <c r="E73" t="s">
        <v>42</v>
      </c>
      <c r="F73" t="s">
        <v>45</v>
      </c>
      <c r="G73">
        <v>9612.120000000001</v>
      </c>
      <c r="H73">
        <v>4.356249999999999</v>
      </c>
      <c r="I73">
        <v>41872.79775</v>
      </c>
      <c r="J73">
        <v>17509.437792</v>
      </c>
      <c r="K73">
        <v>24363.359958</v>
      </c>
      <c r="L73">
        <v>58.1842180774749</v>
      </c>
      <c r="M73">
        <v>14733.33333333333</v>
      </c>
      <c r="N73">
        <v>9630.026624666663</v>
      </c>
      <c r="O73">
        <v>22.9982880106612</v>
      </c>
      <c r="P73">
        <v>5843</v>
      </c>
      <c r="Q73">
        <v>80533.92999999999</v>
      </c>
      <c r="R73">
        <v>13783.7</v>
      </c>
      <c r="S73">
        <v>41872.79775</v>
      </c>
      <c r="T73">
        <v>9630.026624666663</v>
      </c>
      <c r="U73">
        <v>9612.120000000001</v>
      </c>
    </row>
    <row r="74" spans="1:21">
      <c r="A74" s="28">
        <v>45962</v>
      </c>
      <c r="B74">
        <v>2025</v>
      </c>
      <c r="C74">
        <v>11</v>
      </c>
      <c r="D74" t="s">
        <v>40</v>
      </c>
      <c r="E74" t="s">
        <v>42</v>
      </c>
      <c r="F74" t="s">
        <v>45</v>
      </c>
      <c r="G74">
        <v>9612.120000000001</v>
      </c>
      <c r="H74">
        <v>4.356249999999999</v>
      </c>
      <c r="I74">
        <v>41872.79775</v>
      </c>
      <c r="J74">
        <v>17509.437792</v>
      </c>
      <c r="K74">
        <v>24363.359958</v>
      </c>
      <c r="L74">
        <v>58.1842180774749</v>
      </c>
      <c r="M74">
        <v>14733.33333333333</v>
      </c>
      <c r="N74">
        <v>9630.026624666663</v>
      </c>
      <c r="O74">
        <v>22.9982880106612</v>
      </c>
      <c r="P74">
        <v>5843</v>
      </c>
      <c r="Q74">
        <v>80533.92999999999</v>
      </c>
      <c r="R74">
        <v>13783.7</v>
      </c>
      <c r="S74">
        <v>41872.79775</v>
      </c>
      <c r="T74">
        <v>9630.026624666663</v>
      </c>
      <c r="U74">
        <v>9612.120000000001</v>
      </c>
    </row>
    <row r="75" spans="1:21">
      <c r="A75" s="28">
        <v>45992</v>
      </c>
      <c r="B75">
        <v>2025</v>
      </c>
      <c r="C75">
        <v>12</v>
      </c>
      <c r="D75" t="s">
        <v>41</v>
      </c>
      <c r="E75" t="s">
        <v>42</v>
      </c>
      <c r="F75" t="s">
        <v>45</v>
      </c>
      <c r="G75">
        <v>9612.120000000001</v>
      </c>
      <c r="H75">
        <v>4.356249999999999</v>
      </c>
      <c r="I75">
        <v>41872.79775</v>
      </c>
      <c r="J75">
        <v>17509.437792</v>
      </c>
      <c r="K75">
        <v>24363.359958</v>
      </c>
      <c r="L75">
        <v>58.1842180774749</v>
      </c>
      <c r="M75">
        <v>14733.33333333333</v>
      </c>
      <c r="N75">
        <v>9630.026624666663</v>
      </c>
      <c r="O75">
        <v>22.9982880106612</v>
      </c>
      <c r="P75">
        <v>5843</v>
      </c>
      <c r="Q75">
        <v>80533.92999999999</v>
      </c>
      <c r="R75">
        <v>13783.7</v>
      </c>
      <c r="S75">
        <v>41872.79775</v>
      </c>
      <c r="T75">
        <v>9630.026624666663</v>
      </c>
      <c r="U75">
        <v>9612.120000000001</v>
      </c>
    </row>
    <row r="76" spans="1:21">
      <c r="A76" s="28">
        <v>45658</v>
      </c>
      <c r="B76">
        <v>2025</v>
      </c>
      <c r="C76">
        <v>1</v>
      </c>
      <c r="D76" t="s">
        <v>28</v>
      </c>
      <c r="E76" t="s">
        <v>43</v>
      </c>
      <c r="F76" t="s">
        <v>45</v>
      </c>
      <c r="G76">
        <v>24325.95</v>
      </c>
      <c r="H76">
        <v>4.2025</v>
      </c>
      <c r="I76">
        <v>102229.804875</v>
      </c>
      <c r="J76">
        <v>43305.05619</v>
      </c>
      <c r="K76">
        <v>58924.748685</v>
      </c>
      <c r="L76">
        <v>57.63950029744199</v>
      </c>
      <c r="M76">
        <v>53733.33333333334</v>
      </c>
      <c r="N76">
        <v>5191.415351666663</v>
      </c>
      <c r="O76">
        <v>5.078181806190856</v>
      </c>
      <c r="P76">
        <v>28157</v>
      </c>
      <c r="Q76">
        <v>353600</v>
      </c>
      <c r="R76">
        <v>12558.1</v>
      </c>
      <c r="S76">
        <v>102229.804875</v>
      </c>
      <c r="T76">
        <v>5191.415351666663</v>
      </c>
      <c r="U76">
        <v>24325.95</v>
      </c>
    </row>
    <row r="77" spans="1:21">
      <c r="A77" s="28">
        <v>45689</v>
      </c>
      <c r="B77">
        <v>2025</v>
      </c>
      <c r="C77">
        <v>2</v>
      </c>
      <c r="D77" t="s">
        <v>31</v>
      </c>
      <c r="E77" t="s">
        <v>43</v>
      </c>
      <c r="F77" t="s">
        <v>45</v>
      </c>
      <c r="G77">
        <v>29191.14</v>
      </c>
      <c r="H77">
        <v>4.2025</v>
      </c>
      <c r="I77">
        <v>122675.76585</v>
      </c>
      <c r="J77">
        <v>51966.067428</v>
      </c>
      <c r="K77">
        <v>70709.698422</v>
      </c>
      <c r="L77">
        <v>57.63950029744201</v>
      </c>
      <c r="M77">
        <v>53733.33333333334</v>
      </c>
      <c r="N77">
        <v>16976.36508866667</v>
      </c>
      <c r="O77">
        <v>13.83840155473272</v>
      </c>
      <c r="P77">
        <v>28157</v>
      </c>
      <c r="Q77">
        <v>353600</v>
      </c>
      <c r="R77">
        <v>12558.1</v>
      </c>
      <c r="S77">
        <v>122675.76585</v>
      </c>
      <c r="T77">
        <v>16976.36508866667</v>
      </c>
      <c r="U77">
        <v>29191.14</v>
      </c>
    </row>
    <row r="78" spans="1:21">
      <c r="A78" s="28">
        <v>45717</v>
      </c>
      <c r="B78">
        <v>2025</v>
      </c>
      <c r="C78">
        <v>3</v>
      </c>
      <c r="D78" t="s">
        <v>32</v>
      </c>
      <c r="E78" t="s">
        <v>43</v>
      </c>
      <c r="F78" t="s">
        <v>45</v>
      </c>
      <c r="G78">
        <v>34056.33</v>
      </c>
      <c r="H78">
        <v>4.2025</v>
      </c>
      <c r="I78">
        <v>143121.726825</v>
      </c>
      <c r="J78">
        <v>60627.078666</v>
      </c>
      <c r="K78">
        <v>82494.64815900002</v>
      </c>
      <c r="L78">
        <v>57.63950029744201</v>
      </c>
      <c r="M78">
        <v>53733.33333333334</v>
      </c>
      <c r="N78">
        <v>28761.31482566668</v>
      </c>
      <c r="O78">
        <v>20.09570137511977</v>
      </c>
      <c r="P78">
        <v>28157</v>
      </c>
      <c r="Q78">
        <v>353600</v>
      </c>
      <c r="R78">
        <v>12558.1</v>
      </c>
      <c r="S78">
        <v>143121.726825</v>
      </c>
      <c r="T78">
        <v>28761.31482566668</v>
      </c>
      <c r="U78">
        <v>34056.33</v>
      </c>
    </row>
    <row r="79" spans="1:21">
      <c r="A79" s="28">
        <v>45748</v>
      </c>
      <c r="B79">
        <v>2025</v>
      </c>
      <c r="C79">
        <v>4</v>
      </c>
      <c r="D79" t="s">
        <v>33</v>
      </c>
      <c r="E79" t="s">
        <v>43</v>
      </c>
      <c r="F79" t="s">
        <v>45</v>
      </c>
      <c r="G79">
        <v>38921.52</v>
      </c>
      <c r="H79">
        <v>4.2025</v>
      </c>
      <c r="I79">
        <v>163567.6878</v>
      </c>
      <c r="J79">
        <v>69288.08990399999</v>
      </c>
      <c r="K79">
        <v>94279.59789600001</v>
      </c>
      <c r="L79">
        <v>57.63950029744201</v>
      </c>
      <c r="M79">
        <v>53733.33333333334</v>
      </c>
      <c r="N79">
        <v>40546.26456266666</v>
      </c>
      <c r="O79">
        <v>24.78867624041003</v>
      </c>
      <c r="P79">
        <v>28157</v>
      </c>
      <c r="Q79">
        <v>353600</v>
      </c>
      <c r="R79">
        <v>12558.1</v>
      </c>
      <c r="S79">
        <v>163567.6878</v>
      </c>
      <c r="T79">
        <v>40546.26456266666</v>
      </c>
      <c r="U79">
        <v>38921.52</v>
      </c>
    </row>
    <row r="80" spans="1:21">
      <c r="A80" s="28">
        <v>45778</v>
      </c>
      <c r="B80">
        <v>2025</v>
      </c>
      <c r="C80">
        <v>5</v>
      </c>
      <c r="D80" t="s">
        <v>34</v>
      </c>
      <c r="E80" t="s">
        <v>43</v>
      </c>
      <c r="F80" t="s">
        <v>45</v>
      </c>
      <c r="G80">
        <v>43786.71</v>
      </c>
      <c r="H80">
        <v>4.2025</v>
      </c>
      <c r="I80">
        <v>184013.648775</v>
      </c>
      <c r="J80">
        <v>77949.10114199998</v>
      </c>
      <c r="K80">
        <v>106064.547633</v>
      </c>
      <c r="L80">
        <v>57.63950029744201</v>
      </c>
      <c r="M80">
        <v>53733.33333333334</v>
      </c>
      <c r="N80">
        <v>52331.21429966666</v>
      </c>
      <c r="O80">
        <v>28.43876780230248</v>
      </c>
      <c r="P80">
        <v>28157</v>
      </c>
      <c r="Q80">
        <v>353600</v>
      </c>
      <c r="R80">
        <v>12558.1</v>
      </c>
      <c r="S80">
        <v>184013.648775</v>
      </c>
      <c r="T80">
        <v>52331.21429966666</v>
      </c>
      <c r="U80">
        <v>43786.71</v>
      </c>
    </row>
    <row r="81" spans="1:21">
      <c r="A81" s="28">
        <v>45809</v>
      </c>
      <c r="B81">
        <v>2025</v>
      </c>
      <c r="C81">
        <v>6</v>
      </c>
      <c r="D81" t="s">
        <v>35</v>
      </c>
      <c r="E81" t="s">
        <v>43</v>
      </c>
      <c r="F81" t="s">
        <v>45</v>
      </c>
      <c r="G81">
        <v>48651.9</v>
      </c>
      <c r="H81">
        <v>4.2025</v>
      </c>
      <c r="I81">
        <v>204459.60975</v>
      </c>
      <c r="J81">
        <v>86610.11238000001</v>
      </c>
      <c r="K81">
        <v>117849.49737</v>
      </c>
      <c r="L81">
        <v>57.63950029744199</v>
      </c>
      <c r="M81">
        <v>53733.33333333334</v>
      </c>
      <c r="N81">
        <v>64116.16403666666</v>
      </c>
      <c r="O81">
        <v>31.35884105181643</v>
      </c>
      <c r="P81">
        <v>28157</v>
      </c>
      <c r="Q81">
        <v>353600</v>
      </c>
      <c r="R81">
        <v>12558.1</v>
      </c>
      <c r="S81">
        <v>204459.60975</v>
      </c>
      <c r="T81">
        <v>64116.16403666666</v>
      </c>
      <c r="U81">
        <v>48651.9</v>
      </c>
    </row>
    <row r="82" spans="1:21">
      <c r="A82" s="28">
        <v>45839</v>
      </c>
      <c r="B82">
        <v>2025</v>
      </c>
      <c r="C82">
        <v>7</v>
      </c>
      <c r="D82" t="s">
        <v>36</v>
      </c>
      <c r="E82" t="s">
        <v>43</v>
      </c>
      <c r="F82" t="s">
        <v>45</v>
      </c>
      <c r="G82">
        <v>53517.09</v>
      </c>
      <c r="H82">
        <v>4.2025</v>
      </c>
      <c r="I82">
        <v>224905.570725</v>
      </c>
      <c r="J82">
        <v>95271.123618</v>
      </c>
      <c r="K82">
        <v>129634.447107</v>
      </c>
      <c r="L82">
        <v>57.63950029744201</v>
      </c>
      <c r="M82">
        <v>53733.33333333334</v>
      </c>
      <c r="N82">
        <v>75901.11377366667</v>
      </c>
      <c r="O82">
        <v>33.74799189232785</v>
      </c>
      <c r="P82">
        <v>28157</v>
      </c>
      <c r="Q82">
        <v>353600</v>
      </c>
      <c r="R82">
        <v>12558.1</v>
      </c>
      <c r="S82">
        <v>224905.570725</v>
      </c>
      <c r="T82">
        <v>75901.11377366667</v>
      </c>
      <c r="U82">
        <v>53517.09</v>
      </c>
    </row>
    <row r="83" spans="1:21">
      <c r="A83" s="28">
        <v>45870</v>
      </c>
      <c r="B83">
        <v>2025</v>
      </c>
      <c r="C83">
        <v>8</v>
      </c>
      <c r="D83" t="s">
        <v>37</v>
      </c>
      <c r="E83" t="s">
        <v>43</v>
      </c>
      <c r="F83" t="s">
        <v>45</v>
      </c>
      <c r="G83">
        <v>53517.09</v>
      </c>
      <c r="H83">
        <v>4.2025</v>
      </c>
      <c r="I83">
        <v>224905.570725</v>
      </c>
      <c r="J83">
        <v>95271.123618</v>
      </c>
      <c r="K83">
        <v>129634.447107</v>
      </c>
      <c r="L83">
        <v>57.63950029744201</v>
      </c>
      <c r="M83">
        <v>53733.33333333334</v>
      </c>
      <c r="N83">
        <v>75901.11377366667</v>
      </c>
      <c r="O83">
        <v>33.74799189232785</v>
      </c>
      <c r="P83">
        <v>28157</v>
      </c>
      <c r="Q83">
        <v>353600</v>
      </c>
      <c r="R83">
        <v>12558.1</v>
      </c>
      <c r="S83">
        <v>224905.570725</v>
      </c>
      <c r="T83">
        <v>75901.11377366667</v>
      </c>
      <c r="U83">
        <v>53517.09</v>
      </c>
    </row>
    <row r="84" spans="1:21">
      <c r="A84" s="28">
        <v>45901</v>
      </c>
      <c r="B84">
        <v>2025</v>
      </c>
      <c r="C84">
        <v>9</v>
      </c>
      <c r="D84" t="s">
        <v>38</v>
      </c>
      <c r="E84" t="s">
        <v>43</v>
      </c>
      <c r="F84" t="s">
        <v>45</v>
      </c>
      <c r="G84">
        <v>48651.9</v>
      </c>
      <c r="H84">
        <v>4.2025</v>
      </c>
      <c r="I84">
        <v>204459.60975</v>
      </c>
      <c r="J84">
        <v>86610.11238000001</v>
      </c>
      <c r="K84">
        <v>117849.49737</v>
      </c>
      <c r="L84">
        <v>57.63950029744199</v>
      </c>
      <c r="M84">
        <v>53733.33333333334</v>
      </c>
      <c r="N84">
        <v>64116.16403666666</v>
      </c>
      <c r="O84">
        <v>31.35884105181643</v>
      </c>
      <c r="P84">
        <v>28157</v>
      </c>
      <c r="Q84">
        <v>353600</v>
      </c>
      <c r="R84">
        <v>12558.1</v>
      </c>
      <c r="S84">
        <v>204459.60975</v>
      </c>
      <c r="T84">
        <v>64116.16403666666</v>
      </c>
      <c r="U84">
        <v>48651.9</v>
      </c>
    </row>
    <row r="85" spans="1:21">
      <c r="A85" s="28">
        <v>45931</v>
      </c>
      <c r="B85">
        <v>2025</v>
      </c>
      <c r="C85">
        <v>10</v>
      </c>
      <c r="D85" t="s">
        <v>39</v>
      </c>
      <c r="E85" t="s">
        <v>43</v>
      </c>
      <c r="F85" t="s">
        <v>45</v>
      </c>
      <c r="G85">
        <v>43786.71</v>
      </c>
      <c r="H85">
        <v>4.2025</v>
      </c>
      <c r="I85">
        <v>184013.648775</v>
      </c>
      <c r="J85">
        <v>77949.10114199998</v>
      </c>
      <c r="K85">
        <v>106064.547633</v>
      </c>
      <c r="L85">
        <v>57.63950029744201</v>
      </c>
      <c r="M85">
        <v>53733.33333333334</v>
      </c>
      <c r="N85">
        <v>52331.21429966666</v>
      </c>
      <c r="O85">
        <v>28.43876780230248</v>
      </c>
      <c r="P85">
        <v>28157</v>
      </c>
      <c r="Q85">
        <v>353600</v>
      </c>
      <c r="R85">
        <v>12558.1</v>
      </c>
      <c r="S85">
        <v>184013.648775</v>
      </c>
      <c r="T85">
        <v>52331.21429966666</v>
      </c>
      <c r="U85">
        <v>43786.71</v>
      </c>
    </row>
    <row r="86" spans="1:21">
      <c r="A86" s="28">
        <v>45962</v>
      </c>
      <c r="B86">
        <v>2025</v>
      </c>
      <c r="C86">
        <v>11</v>
      </c>
      <c r="D86" t="s">
        <v>40</v>
      </c>
      <c r="E86" t="s">
        <v>43</v>
      </c>
      <c r="F86" t="s">
        <v>45</v>
      </c>
      <c r="G86">
        <v>38921.52</v>
      </c>
      <c r="H86">
        <v>4.2025</v>
      </c>
      <c r="I86">
        <v>163567.6878</v>
      </c>
      <c r="J86">
        <v>69288.08990399999</v>
      </c>
      <c r="K86">
        <v>94279.59789600001</v>
      </c>
      <c r="L86">
        <v>57.63950029744201</v>
      </c>
      <c r="M86">
        <v>53733.33333333334</v>
      </c>
      <c r="N86">
        <v>40546.26456266666</v>
      </c>
      <c r="O86">
        <v>24.78867624041003</v>
      </c>
      <c r="P86">
        <v>28157</v>
      </c>
      <c r="Q86">
        <v>353600</v>
      </c>
      <c r="R86">
        <v>12558.1</v>
      </c>
      <c r="S86">
        <v>163567.6878</v>
      </c>
      <c r="T86">
        <v>40546.26456266666</v>
      </c>
      <c r="U86">
        <v>38921.52</v>
      </c>
    </row>
    <row r="87" spans="1:21">
      <c r="A87" s="28">
        <v>45992</v>
      </c>
      <c r="B87">
        <v>2025</v>
      </c>
      <c r="C87">
        <v>12</v>
      </c>
      <c r="D87" t="s">
        <v>41</v>
      </c>
      <c r="E87" t="s">
        <v>43</v>
      </c>
      <c r="F87" t="s">
        <v>45</v>
      </c>
      <c r="G87">
        <v>29191.14</v>
      </c>
      <c r="H87">
        <v>4.2025</v>
      </c>
      <c r="I87">
        <v>122675.76585</v>
      </c>
      <c r="J87">
        <v>51966.067428</v>
      </c>
      <c r="K87">
        <v>70709.698422</v>
      </c>
      <c r="L87">
        <v>57.63950029744201</v>
      </c>
      <c r="M87">
        <v>53733.33333333334</v>
      </c>
      <c r="N87">
        <v>16976.36508866667</v>
      </c>
      <c r="O87">
        <v>13.83840155473272</v>
      </c>
      <c r="P87">
        <v>28157</v>
      </c>
      <c r="Q87">
        <v>353600</v>
      </c>
      <c r="R87">
        <v>12558.1</v>
      </c>
      <c r="S87">
        <v>122675.76585</v>
      </c>
      <c r="T87">
        <v>16976.36508866667</v>
      </c>
      <c r="U87">
        <v>29191.14</v>
      </c>
    </row>
    <row r="88" spans="1:21">
      <c r="A88" s="28">
        <v>45658</v>
      </c>
      <c r="B88">
        <v>2025</v>
      </c>
      <c r="C88">
        <v>1</v>
      </c>
      <c r="D88" t="s">
        <v>28</v>
      </c>
      <c r="E88" t="s">
        <v>44</v>
      </c>
      <c r="F88" t="s">
        <v>45</v>
      </c>
      <c r="G88">
        <v>7116.06</v>
      </c>
      <c r="H88">
        <v>4.663749999999999</v>
      </c>
      <c r="I88">
        <v>33187.52482499999</v>
      </c>
      <c r="J88">
        <v>13625.475885</v>
      </c>
      <c r="K88">
        <v>19562.04894</v>
      </c>
      <c r="L88">
        <v>58.94398284642186</v>
      </c>
      <c r="M88">
        <v>13866.66666666667</v>
      </c>
      <c r="N88">
        <v>5695.382273333327</v>
      </c>
      <c r="O88">
        <v>17.16121435197549</v>
      </c>
      <c r="P88">
        <v>5180</v>
      </c>
      <c r="Q88">
        <v>60950</v>
      </c>
      <c r="R88">
        <v>11766.4</v>
      </c>
      <c r="S88">
        <v>33187.52482499999</v>
      </c>
      <c r="T88">
        <v>5695.382273333327</v>
      </c>
      <c r="U88">
        <v>7116.06</v>
      </c>
    </row>
    <row r="89" spans="1:21">
      <c r="A89" s="28">
        <v>45689</v>
      </c>
      <c r="B89">
        <v>2025</v>
      </c>
      <c r="C89">
        <v>2</v>
      </c>
      <c r="D89" t="s">
        <v>31</v>
      </c>
      <c r="E89" t="s">
        <v>44</v>
      </c>
      <c r="F89" t="s">
        <v>45</v>
      </c>
      <c r="G89">
        <v>8302.070000000002</v>
      </c>
      <c r="H89">
        <v>4.663749999999999</v>
      </c>
      <c r="I89">
        <v>38718.7789625</v>
      </c>
      <c r="J89">
        <v>15896.3885325</v>
      </c>
      <c r="K89">
        <v>22822.39043</v>
      </c>
      <c r="L89">
        <v>58.94398284642188</v>
      </c>
      <c r="M89">
        <v>13866.66666666667</v>
      </c>
      <c r="N89">
        <v>8955.723763333333</v>
      </c>
      <c r="O89">
        <v>23.13018127975356</v>
      </c>
      <c r="P89">
        <v>5180</v>
      </c>
      <c r="Q89">
        <v>60950</v>
      </c>
      <c r="R89">
        <v>11766.4</v>
      </c>
      <c r="S89">
        <v>38718.7789625</v>
      </c>
      <c r="T89">
        <v>8955.723763333333</v>
      </c>
      <c r="U89">
        <v>8302.070000000002</v>
      </c>
    </row>
    <row r="90" spans="1:21">
      <c r="A90" s="28">
        <v>45717</v>
      </c>
      <c r="B90">
        <v>2025</v>
      </c>
      <c r="C90">
        <v>3</v>
      </c>
      <c r="D90" t="s">
        <v>32</v>
      </c>
      <c r="E90" t="s">
        <v>44</v>
      </c>
      <c r="F90" t="s">
        <v>45</v>
      </c>
      <c r="G90">
        <v>11860.1</v>
      </c>
      <c r="H90">
        <v>4.663749999999999</v>
      </c>
      <c r="I90">
        <v>55312.541375</v>
      </c>
      <c r="J90">
        <v>22709.126475</v>
      </c>
      <c r="K90">
        <v>32603.4149</v>
      </c>
      <c r="L90">
        <v>58.94398284642188</v>
      </c>
      <c r="M90">
        <v>13866.66666666667</v>
      </c>
      <c r="N90">
        <v>18736.74823333333</v>
      </c>
      <c r="O90">
        <v>33.87432174975405</v>
      </c>
      <c r="P90">
        <v>5180</v>
      </c>
      <c r="Q90">
        <v>60950</v>
      </c>
      <c r="R90">
        <v>11766.4</v>
      </c>
      <c r="S90">
        <v>55312.541375</v>
      </c>
      <c r="T90">
        <v>18736.74823333333</v>
      </c>
      <c r="U90">
        <v>11860.1</v>
      </c>
    </row>
    <row r="91" spans="1:21">
      <c r="A91" s="28">
        <v>45748</v>
      </c>
      <c r="B91">
        <v>2025</v>
      </c>
      <c r="C91">
        <v>4</v>
      </c>
      <c r="D91" t="s">
        <v>33</v>
      </c>
      <c r="E91" t="s">
        <v>44</v>
      </c>
      <c r="F91" t="s">
        <v>45</v>
      </c>
      <c r="G91">
        <v>14232.12</v>
      </c>
      <c r="H91">
        <v>4.663749999999999</v>
      </c>
      <c r="I91">
        <v>66375.04964999999</v>
      </c>
      <c r="J91">
        <v>27250.95177</v>
      </c>
      <c r="K91">
        <v>39124.09787999999</v>
      </c>
      <c r="L91">
        <v>58.94398284642186</v>
      </c>
      <c r="M91">
        <v>13866.66666666667</v>
      </c>
      <c r="N91">
        <v>25257.43121333332</v>
      </c>
      <c r="O91">
        <v>38.05259859919868</v>
      </c>
      <c r="P91">
        <v>5180</v>
      </c>
      <c r="Q91">
        <v>60950</v>
      </c>
      <c r="R91">
        <v>11766.4</v>
      </c>
      <c r="S91">
        <v>66375.04964999999</v>
      </c>
      <c r="T91">
        <v>25257.43121333332</v>
      </c>
      <c r="U91">
        <v>14232.12</v>
      </c>
    </row>
    <row r="92" spans="1:21">
      <c r="A92" s="28">
        <v>45778</v>
      </c>
      <c r="B92">
        <v>2025</v>
      </c>
      <c r="C92">
        <v>5</v>
      </c>
      <c r="D92" t="s">
        <v>34</v>
      </c>
      <c r="E92" t="s">
        <v>44</v>
      </c>
      <c r="F92" t="s">
        <v>45</v>
      </c>
      <c r="G92">
        <v>15418.13</v>
      </c>
      <c r="H92">
        <v>4.663749999999999</v>
      </c>
      <c r="I92">
        <v>71906.3037875</v>
      </c>
      <c r="J92">
        <v>29521.8644175</v>
      </c>
      <c r="K92">
        <v>42384.43937</v>
      </c>
      <c r="L92">
        <v>58.94398284642188</v>
      </c>
      <c r="M92">
        <v>13866.66666666667</v>
      </c>
      <c r="N92">
        <v>28517.77270333334</v>
      </c>
      <c r="O92">
        <v>39.65962815667739</v>
      </c>
      <c r="P92">
        <v>5180</v>
      </c>
      <c r="Q92">
        <v>60950</v>
      </c>
      <c r="R92">
        <v>11766.4</v>
      </c>
      <c r="S92">
        <v>71906.3037875</v>
      </c>
      <c r="T92">
        <v>28517.77270333334</v>
      </c>
      <c r="U92">
        <v>15418.13</v>
      </c>
    </row>
    <row r="93" spans="1:21">
      <c r="A93" s="28">
        <v>45809</v>
      </c>
      <c r="B93">
        <v>2025</v>
      </c>
      <c r="C93">
        <v>6</v>
      </c>
      <c r="D93" t="s">
        <v>35</v>
      </c>
      <c r="E93" t="s">
        <v>44</v>
      </c>
      <c r="F93" t="s">
        <v>45</v>
      </c>
      <c r="G93">
        <v>13046.11</v>
      </c>
      <c r="H93">
        <v>4.663749999999999</v>
      </c>
      <c r="I93">
        <v>60843.79551249999</v>
      </c>
      <c r="J93">
        <v>24980.0391225</v>
      </c>
      <c r="K93">
        <v>35863.75639</v>
      </c>
      <c r="L93">
        <v>58.94398284642188</v>
      </c>
      <c r="M93">
        <v>13866.66666666667</v>
      </c>
      <c r="N93">
        <v>21997.08972333333</v>
      </c>
      <c r="O93">
        <v>36.15338184945113</v>
      </c>
      <c r="P93">
        <v>5180</v>
      </c>
      <c r="Q93">
        <v>60950</v>
      </c>
      <c r="R93">
        <v>11766.4</v>
      </c>
      <c r="S93">
        <v>60843.79551249999</v>
      </c>
      <c r="T93">
        <v>21997.08972333333</v>
      </c>
      <c r="U93">
        <v>13046.11</v>
      </c>
    </row>
    <row r="94" spans="1:21">
      <c r="A94" s="28">
        <v>45839</v>
      </c>
      <c r="B94">
        <v>2025</v>
      </c>
      <c r="C94">
        <v>7</v>
      </c>
      <c r="D94" t="s">
        <v>36</v>
      </c>
      <c r="E94" t="s">
        <v>44</v>
      </c>
      <c r="F94" t="s">
        <v>45</v>
      </c>
      <c r="G94">
        <v>10674.09</v>
      </c>
      <c r="H94">
        <v>4.663749999999999</v>
      </c>
      <c r="I94">
        <v>49781.28723749999</v>
      </c>
      <c r="J94">
        <v>20438.2138275</v>
      </c>
      <c r="K94">
        <v>29343.07341</v>
      </c>
      <c r="L94">
        <v>58.94398284642186</v>
      </c>
      <c r="M94">
        <v>13866.66666666667</v>
      </c>
      <c r="N94">
        <v>15476.40674333333</v>
      </c>
      <c r="O94">
        <v>31.08880385012429</v>
      </c>
      <c r="P94">
        <v>5180</v>
      </c>
      <c r="Q94">
        <v>60950</v>
      </c>
      <c r="R94">
        <v>11766.4</v>
      </c>
      <c r="S94">
        <v>49781.28723749999</v>
      </c>
      <c r="T94">
        <v>15476.40674333333</v>
      </c>
      <c r="U94">
        <v>10674.09</v>
      </c>
    </row>
    <row r="95" spans="1:21">
      <c r="A95" s="28">
        <v>45870</v>
      </c>
      <c r="B95">
        <v>2025</v>
      </c>
      <c r="C95">
        <v>8</v>
      </c>
      <c r="D95" t="s">
        <v>37</v>
      </c>
      <c r="E95" t="s">
        <v>44</v>
      </c>
      <c r="F95" t="s">
        <v>45</v>
      </c>
      <c r="G95">
        <v>8302.070000000002</v>
      </c>
      <c r="H95">
        <v>4.663749999999999</v>
      </c>
      <c r="I95">
        <v>38718.7789625</v>
      </c>
      <c r="J95">
        <v>15896.3885325</v>
      </c>
      <c r="K95">
        <v>22822.39043</v>
      </c>
      <c r="L95">
        <v>58.94398284642188</v>
      </c>
      <c r="M95">
        <v>13866.66666666667</v>
      </c>
      <c r="N95">
        <v>8955.723763333333</v>
      </c>
      <c r="O95">
        <v>23.13018127975356</v>
      </c>
      <c r="P95">
        <v>5180</v>
      </c>
      <c r="Q95">
        <v>60950</v>
      </c>
      <c r="R95">
        <v>11766.4</v>
      </c>
      <c r="S95">
        <v>38718.7789625</v>
      </c>
      <c r="T95">
        <v>8955.723763333333</v>
      </c>
      <c r="U95">
        <v>8302.070000000002</v>
      </c>
    </row>
    <row r="96" spans="1:21">
      <c r="A96" s="28">
        <v>45901</v>
      </c>
      <c r="B96">
        <v>2025</v>
      </c>
      <c r="C96">
        <v>9</v>
      </c>
      <c r="D96" t="s">
        <v>38</v>
      </c>
      <c r="E96" t="s">
        <v>44</v>
      </c>
      <c r="F96" t="s">
        <v>45</v>
      </c>
      <c r="G96">
        <v>7116.06</v>
      </c>
      <c r="H96">
        <v>4.663749999999999</v>
      </c>
      <c r="I96">
        <v>33187.52482499999</v>
      </c>
      <c r="J96">
        <v>13625.475885</v>
      </c>
      <c r="K96">
        <v>19562.04894</v>
      </c>
      <c r="L96">
        <v>58.94398284642186</v>
      </c>
      <c r="M96">
        <v>13866.66666666667</v>
      </c>
      <c r="N96">
        <v>5695.382273333327</v>
      </c>
      <c r="O96">
        <v>17.16121435197549</v>
      </c>
      <c r="P96">
        <v>5180</v>
      </c>
      <c r="Q96">
        <v>60950</v>
      </c>
      <c r="R96">
        <v>11766.4</v>
      </c>
      <c r="S96">
        <v>33187.52482499999</v>
      </c>
      <c r="T96">
        <v>5695.382273333327</v>
      </c>
      <c r="U96">
        <v>7116.06</v>
      </c>
    </row>
    <row r="97" spans="1:26">
      <c r="A97" s="28">
        <v>45931</v>
      </c>
      <c r="B97">
        <v>2025</v>
      </c>
      <c r="C97">
        <v>10</v>
      </c>
      <c r="D97" t="s">
        <v>39</v>
      </c>
      <c r="E97" t="s">
        <v>44</v>
      </c>
      <c r="F97" t="s">
        <v>45</v>
      </c>
      <c r="G97">
        <v>7116.06</v>
      </c>
      <c r="H97">
        <v>4.663749999999999</v>
      </c>
      <c r="I97">
        <v>33187.52482499999</v>
      </c>
      <c r="J97">
        <v>13625.475885</v>
      </c>
      <c r="K97">
        <v>19562.04894</v>
      </c>
      <c r="L97">
        <v>58.94398284642186</v>
      </c>
      <c r="M97">
        <v>13866.66666666667</v>
      </c>
      <c r="N97">
        <v>5695.382273333327</v>
      </c>
      <c r="O97">
        <v>17.16121435197549</v>
      </c>
      <c r="P97">
        <v>5180</v>
      </c>
      <c r="Q97">
        <v>60950</v>
      </c>
      <c r="R97">
        <v>11766.4</v>
      </c>
      <c r="S97">
        <v>33187.52482499999</v>
      </c>
      <c r="T97">
        <v>5695.382273333327</v>
      </c>
      <c r="U97">
        <v>7116.06</v>
      </c>
    </row>
    <row r="98" spans="1:26">
      <c r="A98" s="28">
        <v>45962</v>
      </c>
      <c r="B98">
        <v>2025</v>
      </c>
      <c r="C98">
        <v>11</v>
      </c>
      <c r="D98" t="s">
        <v>40</v>
      </c>
      <c r="E98" t="s">
        <v>44</v>
      </c>
      <c r="F98" t="s">
        <v>45</v>
      </c>
      <c r="G98">
        <v>8302.070000000002</v>
      </c>
      <c r="H98">
        <v>4.663749999999999</v>
      </c>
      <c r="I98">
        <v>38718.7789625</v>
      </c>
      <c r="J98">
        <v>15896.3885325</v>
      </c>
      <c r="K98">
        <v>22822.39043</v>
      </c>
      <c r="L98">
        <v>58.94398284642188</v>
      </c>
      <c r="M98">
        <v>13866.66666666667</v>
      </c>
      <c r="N98">
        <v>8955.723763333333</v>
      </c>
      <c r="O98">
        <v>23.13018127975356</v>
      </c>
      <c r="P98">
        <v>5180</v>
      </c>
      <c r="Q98">
        <v>60950</v>
      </c>
      <c r="R98">
        <v>11766.4</v>
      </c>
      <c r="S98">
        <v>38718.7789625</v>
      </c>
      <c r="T98">
        <v>8955.723763333333</v>
      </c>
      <c r="U98">
        <v>8302.070000000002</v>
      </c>
    </row>
    <row r="99" spans="1:26">
      <c r="A99" s="28">
        <v>45992</v>
      </c>
      <c r="B99">
        <v>2025</v>
      </c>
      <c r="C99">
        <v>12</v>
      </c>
      <c r="D99" t="s">
        <v>41</v>
      </c>
      <c r="E99" t="s">
        <v>44</v>
      </c>
      <c r="F99" t="s">
        <v>45</v>
      </c>
      <c r="G99">
        <v>7116.06</v>
      </c>
      <c r="H99">
        <v>4.663749999999999</v>
      </c>
      <c r="I99">
        <v>33187.52482499999</v>
      </c>
      <c r="J99">
        <v>13625.475885</v>
      </c>
      <c r="K99">
        <v>19562.04894</v>
      </c>
      <c r="L99">
        <v>58.94398284642186</v>
      </c>
      <c r="M99">
        <v>13866.66666666667</v>
      </c>
      <c r="N99">
        <v>5695.382273333327</v>
      </c>
      <c r="O99">
        <v>17.16121435197549</v>
      </c>
      <c r="P99">
        <v>5180</v>
      </c>
      <c r="Q99">
        <v>60950</v>
      </c>
      <c r="R99">
        <v>11766.4</v>
      </c>
      <c r="S99">
        <v>33187.52482499999</v>
      </c>
      <c r="T99">
        <v>5695.382273333327</v>
      </c>
      <c r="U99">
        <v>7116.06</v>
      </c>
    </row>
    <row r="100" spans="1:26">
      <c r="A100" s="28">
        <v>45658</v>
      </c>
      <c r="B100">
        <v>2025</v>
      </c>
      <c r="C100">
        <v>1</v>
      </c>
      <c r="D100" t="s">
        <v>28</v>
      </c>
      <c r="E100" t="s">
        <v>29</v>
      </c>
      <c r="F100" t="s">
        <v>46</v>
      </c>
      <c r="G100">
        <v>11239.62</v>
      </c>
      <c r="H100">
        <v>4.363424999999999</v>
      </c>
      <c r="I100">
        <v>49043.23889849999</v>
      </c>
      <c r="J100">
        <v>20823.081993</v>
      </c>
      <c r="K100">
        <v>28220.1569055</v>
      </c>
      <c r="L100">
        <v>57.54138091063786</v>
      </c>
      <c r="M100">
        <v>21666.66666666667</v>
      </c>
      <c r="N100">
        <v>6553.490238833328</v>
      </c>
      <c r="O100">
        <v>13.3626782937327</v>
      </c>
      <c r="P100">
        <v>14038</v>
      </c>
      <c r="Q100">
        <v>97218.78999999999</v>
      </c>
      <c r="R100">
        <v>6925.4</v>
      </c>
      <c r="S100">
        <v>52700.6538</v>
      </c>
      <c r="T100">
        <v>8881.776977333331</v>
      </c>
      <c r="U100">
        <v>11957.04</v>
      </c>
      <c r="V100">
        <v>-3657.414901500008</v>
      </c>
      <c r="W100">
        <v>-6.939980128861338</v>
      </c>
      <c r="X100">
        <v>-2328.286738500003</v>
      </c>
      <c r="Y100">
        <v>-26.21419952833637</v>
      </c>
      <c r="Z100">
        <v>-5.999979928142752</v>
      </c>
    </row>
    <row r="101" spans="1:26">
      <c r="A101" s="28">
        <v>45689</v>
      </c>
      <c r="B101">
        <v>2025</v>
      </c>
      <c r="C101">
        <v>2</v>
      </c>
      <c r="D101" t="s">
        <v>31</v>
      </c>
      <c r="E101" t="s">
        <v>29</v>
      </c>
      <c r="F101" t="s">
        <v>46</v>
      </c>
      <c r="G101">
        <v>13112.89</v>
      </c>
      <c r="H101">
        <v>4.363424999999999</v>
      </c>
      <c r="I101">
        <v>57217.11204825</v>
      </c>
      <c r="J101">
        <v>24293.5956585</v>
      </c>
      <c r="K101">
        <v>32923.51638975</v>
      </c>
      <c r="L101">
        <v>57.54138091063786</v>
      </c>
      <c r="M101">
        <v>21666.66666666667</v>
      </c>
      <c r="N101">
        <v>11256.84972308333</v>
      </c>
      <c r="O101">
        <v>19.67392152471914</v>
      </c>
      <c r="P101">
        <v>14038</v>
      </c>
      <c r="Q101">
        <v>97218.78999999999</v>
      </c>
      <c r="R101">
        <v>6925.4</v>
      </c>
      <c r="S101">
        <v>61484.0961</v>
      </c>
      <c r="T101">
        <v>13973.18425133333</v>
      </c>
      <c r="U101">
        <v>13949.88</v>
      </c>
      <c r="V101">
        <v>-4266.984051750005</v>
      </c>
      <c r="W101">
        <v>-6.939980128861331</v>
      </c>
      <c r="X101">
        <v>-2716.334528250001</v>
      </c>
      <c r="Y101">
        <v>-19.43962435041109</v>
      </c>
      <c r="Z101">
        <v>-5.999979928142752</v>
      </c>
    </row>
    <row r="102" spans="1:26">
      <c r="A102" s="28">
        <v>45717</v>
      </c>
      <c r="B102">
        <v>2025</v>
      </c>
      <c r="C102">
        <v>3</v>
      </c>
      <c r="D102" t="s">
        <v>32</v>
      </c>
      <c r="E102" t="s">
        <v>29</v>
      </c>
      <c r="F102" t="s">
        <v>46</v>
      </c>
      <c r="G102">
        <v>16859.43</v>
      </c>
      <c r="H102">
        <v>4.363424999999999</v>
      </c>
      <c r="I102">
        <v>73564.85834774999</v>
      </c>
      <c r="J102">
        <v>31234.6229895</v>
      </c>
      <c r="K102">
        <v>42330.23535824999</v>
      </c>
      <c r="L102">
        <v>57.54138091063786</v>
      </c>
      <c r="M102">
        <v>21666.66666666667</v>
      </c>
      <c r="N102">
        <v>20663.56869158332</v>
      </c>
      <c r="O102">
        <v>28.08891249936775</v>
      </c>
      <c r="P102">
        <v>14038</v>
      </c>
      <c r="Q102">
        <v>97218.78999999999</v>
      </c>
      <c r="R102">
        <v>6925.4</v>
      </c>
      <c r="S102">
        <v>79050.9807</v>
      </c>
      <c r="T102">
        <v>24155.99879933333</v>
      </c>
      <c r="U102">
        <v>17935.56</v>
      </c>
      <c r="V102">
        <v>-5486.122352250008</v>
      </c>
      <c r="W102">
        <v>-6.939980128861334</v>
      </c>
      <c r="X102">
        <v>-3492.430107750006</v>
      </c>
      <c r="Y102">
        <v>-14.45781702823396</v>
      </c>
      <c r="Z102">
        <v>-5.99997992814274</v>
      </c>
    </row>
    <row r="103" spans="1:26">
      <c r="A103" s="28">
        <v>45748</v>
      </c>
      <c r="B103">
        <v>2025</v>
      </c>
      <c r="C103">
        <v>4</v>
      </c>
      <c r="D103" t="s">
        <v>33</v>
      </c>
      <c r="E103" t="s">
        <v>29</v>
      </c>
      <c r="F103" t="s">
        <v>46</v>
      </c>
      <c r="G103">
        <v>20605.97</v>
      </c>
      <c r="H103">
        <v>4.363424999999999</v>
      </c>
      <c r="I103">
        <v>89912.60464724999</v>
      </c>
      <c r="J103">
        <v>38175.6503205</v>
      </c>
      <c r="K103">
        <v>51736.95432674999</v>
      </c>
      <c r="L103">
        <v>57.54138091063786</v>
      </c>
      <c r="M103">
        <v>21666.66666666667</v>
      </c>
      <c r="N103">
        <v>30070.28766008332</v>
      </c>
      <c r="O103">
        <v>33.44390675596231</v>
      </c>
      <c r="P103">
        <v>14038</v>
      </c>
      <c r="Q103">
        <v>97218.78999999999</v>
      </c>
      <c r="R103">
        <v>6925.4</v>
      </c>
      <c r="S103">
        <v>96617.8653</v>
      </c>
      <c r="T103">
        <v>34338.81334733333</v>
      </c>
      <c r="U103">
        <v>21921.24</v>
      </c>
      <c r="V103">
        <v>-6705.260652750017</v>
      </c>
      <c r="W103">
        <v>-6.939980128861341</v>
      </c>
      <c r="X103">
        <v>-4268.525687250007</v>
      </c>
      <c r="Y103">
        <v>-12.43061501303012</v>
      </c>
      <c r="Z103">
        <v>-5.999979928142752</v>
      </c>
    </row>
    <row r="104" spans="1:26">
      <c r="A104" s="28">
        <v>45778</v>
      </c>
      <c r="B104">
        <v>2025</v>
      </c>
      <c r="C104">
        <v>5</v>
      </c>
      <c r="D104" t="s">
        <v>34</v>
      </c>
      <c r="E104" t="s">
        <v>29</v>
      </c>
      <c r="F104" t="s">
        <v>46</v>
      </c>
      <c r="G104">
        <v>22479.24</v>
      </c>
      <c r="H104">
        <v>4.363424999999999</v>
      </c>
      <c r="I104">
        <v>98086.477797</v>
      </c>
      <c r="J104">
        <v>41646.16398599999</v>
      </c>
      <c r="K104">
        <v>56440.31381099999</v>
      </c>
      <c r="L104">
        <v>57.54138091063786</v>
      </c>
      <c r="M104">
        <v>21666.66666666667</v>
      </c>
      <c r="N104">
        <v>34773.64714433333</v>
      </c>
      <c r="O104">
        <v>35.45202960218528</v>
      </c>
      <c r="P104">
        <v>14038</v>
      </c>
      <c r="Q104">
        <v>97218.78999999999</v>
      </c>
      <c r="R104">
        <v>6925.4</v>
      </c>
      <c r="S104">
        <v>105401.3076</v>
      </c>
      <c r="T104">
        <v>39430.22062133333</v>
      </c>
      <c r="U104">
        <v>23914.08</v>
      </c>
      <c r="V104">
        <v>-7314.829803000015</v>
      </c>
      <c r="W104">
        <v>-6.939980128861338</v>
      </c>
      <c r="X104">
        <v>-4656.573476999998</v>
      </c>
      <c r="Y104">
        <v>-11.80965615617328</v>
      </c>
      <c r="Z104">
        <v>-5.999979928142752</v>
      </c>
    </row>
    <row r="105" spans="1:26">
      <c r="A105" s="28">
        <v>45809</v>
      </c>
      <c r="B105">
        <v>2025</v>
      </c>
      <c r="C105">
        <v>6</v>
      </c>
      <c r="D105" t="s">
        <v>35</v>
      </c>
      <c r="E105" t="s">
        <v>29</v>
      </c>
      <c r="F105" t="s">
        <v>46</v>
      </c>
      <c r="G105">
        <v>20605.97</v>
      </c>
      <c r="H105">
        <v>4.363424999999999</v>
      </c>
      <c r="I105">
        <v>89912.60464724999</v>
      </c>
      <c r="J105">
        <v>38175.6503205</v>
      </c>
      <c r="K105">
        <v>51736.95432674999</v>
      </c>
      <c r="L105">
        <v>57.54138091063786</v>
      </c>
      <c r="M105">
        <v>21666.66666666667</v>
      </c>
      <c r="N105">
        <v>30070.28766008332</v>
      </c>
      <c r="O105">
        <v>33.44390675596231</v>
      </c>
      <c r="P105">
        <v>14038</v>
      </c>
      <c r="Q105">
        <v>97218.78999999999</v>
      </c>
      <c r="R105">
        <v>6925.4</v>
      </c>
      <c r="S105">
        <v>96617.8653</v>
      </c>
      <c r="T105">
        <v>34338.81334733333</v>
      </c>
      <c r="U105">
        <v>21921.24</v>
      </c>
      <c r="V105">
        <v>-6705.260652750017</v>
      </c>
      <c r="W105">
        <v>-6.939980128861341</v>
      </c>
      <c r="X105">
        <v>-4268.525687250007</v>
      </c>
      <c r="Y105">
        <v>-12.43061501303012</v>
      </c>
      <c r="Z105">
        <v>-5.999979928142752</v>
      </c>
    </row>
    <row r="106" spans="1:26">
      <c r="A106" s="28">
        <v>45839</v>
      </c>
      <c r="B106">
        <v>2025</v>
      </c>
      <c r="C106">
        <v>7</v>
      </c>
      <c r="D106" t="s">
        <v>36</v>
      </c>
      <c r="E106" t="s">
        <v>29</v>
      </c>
      <c r="F106" t="s">
        <v>46</v>
      </c>
      <c r="G106">
        <v>16859.43</v>
      </c>
      <c r="H106">
        <v>4.363424999999999</v>
      </c>
      <c r="I106">
        <v>73564.85834774999</v>
      </c>
      <c r="J106">
        <v>31234.6229895</v>
      </c>
      <c r="K106">
        <v>42330.23535824999</v>
      </c>
      <c r="L106">
        <v>57.54138091063786</v>
      </c>
      <c r="M106">
        <v>21666.66666666667</v>
      </c>
      <c r="N106">
        <v>20663.56869158332</v>
      </c>
      <c r="O106">
        <v>28.08891249936775</v>
      </c>
      <c r="P106">
        <v>14038</v>
      </c>
      <c r="Q106">
        <v>97218.78999999999</v>
      </c>
      <c r="R106">
        <v>6925.4</v>
      </c>
      <c r="S106">
        <v>79050.9807</v>
      </c>
      <c r="T106">
        <v>24155.99879933333</v>
      </c>
      <c r="U106">
        <v>17935.56</v>
      </c>
      <c r="V106">
        <v>-5486.122352250008</v>
      </c>
      <c r="W106">
        <v>-6.939980128861334</v>
      </c>
      <c r="X106">
        <v>-3492.430107750006</v>
      </c>
      <c r="Y106">
        <v>-14.45781702823396</v>
      </c>
      <c r="Z106">
        <v>-5.99997992814274</v>
      </c>
    </row>
    <row r="107" spans="1:26">
      <c r="A107" s="28">
        <v>45870</v>
      </c>
      <c r="B107">
        <v>2025</v>
      </c>
      <c r="C107">
        <v>8</v>
      </c>
      <c r="D107" t="s">
        <v>37</v>
      </c>
      <c r="E107" t="s">
        <v>29</v>
      </c>
      <c r="F107" t="s">
        <v>46</v>
      </c>
      <c r="G107">
        <v>14986.16</v>
      </c>
      <c r="H107">
        <v>4.363424999999999</v>
      </c>
      <c r="I107">
        <v>65390.98519799999</v>
      </c>
      <c r="J107">
        <v>27764.109324</v>
      </c>
      <c r="K107">
        <v>37626.87587399999</v>
      </c>
      <c r="L107">
        <v>57.54138091063786</v>
      </c>
      <c r="M107">
        <v>21666.66666666667</v>
      </c>
      <c r="N107">
        <v>15960.20920733332</v>
      </c>
      <c r="O107">
        <v>24.40735394795898</v>
      </c>
      <c r="P107">
        <v>14038</v>
      </c>
      <c r="Q107">
        <v>97218.78999999999</v>
      </c>
      <c r="R107">
        <v>6925.4</v>
      </c>
      <c r="S107">
        <v>70267.5384</v>
      </c>
      <c r="T107">
        <v>19064.59152533334</v>
      </c>
      <c r="U107">
        <v>15942.72</v>
      </c>
      <c r="V107">
        <v>-4876.553202000017</v>
      </c>
      <c r="W107">
        <v>-6.939980128861348</v>
      </c>
      <c r="X107">
        <v>-3104.382318000018</v>
      </c>
      <c r="Y107">
        <v>-16.28349767617556</v>
      </c>
      <c r="Z107">
        <v>-5.999979928142762</v>
      </c>
    </row>
    <row r="108" spans="1:26">
      <c r="A108" s="28">
        <v>45901</v>
      </c>
      <c r="B108">
        <v>2025</v>
      </c>
      <c r="C108">
        <v>9</v>
      </c>
      <c r="D108" t="s">
        <v>38</v>
      </c>
      <c r="E108" t="s">
        <v>29</v>
      </c>
      <c r="F108" t="s">
        <v>46</v>
      </c>
      <c r="G108">
        <v>13112.89</v>
      </c>
      <c r="H108">
        <v>4.363424999999999</v>
      </c>
      <c r="I108">
        <v>57217.11204825</v>
      </c>
      <c r="J108">
        <v>24293.5956585</v>
      </c>
      <c r="K108">
        <v>32923.51638975</v>
      </c>
      <c r="L108">
        <v>57.54138091063786</v>
      </c>
      <c r="M108">
        <v>21666.66666666667</v>
      </c>
      <c r="N108">
        <v>11256.84972308333</v>
      </c>
      <c r="O108">
        <v>19.67392152471914</v>
      </c>
      <c r="P108">
        <v>14038</v>
      </c>
      <c r="Q108">
        <v>97218.78999999999</v>
      </c>
      <c r="R108">
        <v>6925.4</v>
      </c>
      <c r="S108">
        <v>61484.0961</v>
      </c>
      <c r="T108">
        <v>13973.18425133333</v>
      </c>
      <c r="U108">
        <v>13949.88</v>
      </c>
      <c r="V108">
        <v>-4266.984051750005</v>
      </c>
      <c r="W108">
        <v>-6.939980128861331</v>
      </c>
      <c r="X108">
        <v>-2716.334528250001</v>
      </c>
      <c r="Y108">
        <v>-19.43962435041109</v>
      </c>
      <c r="Z108">
        <v>-5.999979928142752</v>
      </c>
    </row>
    <row r="109" spans="1:26">
      <c r="A109" s="28">
        <v>45931</v>
      </c>
      <c r="B109">
        <v>2025</v>
      </c>
      <c r="C109">
        <v>10</v>
      </c>
      <c r="D109" t="s">
        <v>39</v>
      </c>
      <c r="E109" t="s">
        <v>29</v>
      </c>
      <c r="F109" t="s">
        <v>46</v>
      </c>
      <c r="G109">
        <v>13112.89</v>
      </c>
      <c r="H109">
        <v>4.363424999999999</v>
      </c>
      <c r="I109">
        <v>57217.11204825</v>
      </c>
      <c r="J109">
        <v>24293.5956585</v>
      </c>
      <c r="K109">
        <v>32923.51638975</v>
      </c>
      <c r="L109">
        <v>57.54138091063786</v>
      </c>
      <c r="M109">
        <v>21666.66666666667</v>
      </c>
      <c r="N109">
        <v>11256.84972308333</v>
      </c>
      <c r="O109">
        <v>19.67392152471914</v>
      </c>
      <c r="P109">
        <v>14038</v>
      </c>
      <c r="Q109">
        <v>97218.78999999999</v>
      </c>
      <c r="R109">
        <v>6925.4</v>
      </c>
      <c r="S109">
        <v>61484.0961</v>
      </c>
      <c r="T109">
        <v>13973.18425133333</v>
      </c>
      <c r="U109">
        <v>13949.88</v>
      </c>
      <c r="V109">
        <v>-4266.984051750005</v>
      </c>
      <c r="W109">
        <v>-6.939980128861331</v>
      </c>
      <c r="X109">
        <v>-2716.334528250001</v>
      </c>
      <c r="Y109">
        <v>-19.43962435041109</v>
      </c>
      <c r="Z109">
        <v>-5.999979928142752</v>
      </c>
    </row>
    <row r="110" spans="1:26">
      <c r="A110" s="28">
        <v>45962</v>
      </c>
      <c r="B110">
        <v>2025</v>
      </c>
      <c r="C110">
        <v>11</v>
      </c>
      <c r="D110" t="s">
        <v>40</v>
      </c>
      <c r="E110" t="s">
        <v>29</v>
      </c>
      <c r="F110" t="s">
        <v>46</v>
      </c>
      <c r="G110">
        <v>13112.89</v>
      </c>
      <c r="H110">
        <v>4.363424999999999</v>
      </c>
      <c r="I110">
        <v>57217.11204825</v>
      </c>
      <c r="J110">
        <v>24293.5956585</v>
      </c>
      <c r="K110">
        <v>32923.51638975</v>
      </c>
      <c r="L110">
        <v>57.54138091063786</v>
      </c>
      <c r="M110">
        <v>21666.66666666667</v>
      </c>
      <c r="N110">
        <v>11256.84972308333</v>
      </c>
      <c r="O110">
        <v>19.67392152471914</v>
      </c>
      <c r="P110">
        <v>14038</v>
      </c>
      <c r="Q110">
        <v>97218.78999999999</v>
      </c>
      <c r="R110">
        <v>6925.4</v>
      </c>
      <c r="S110">
        <v>61484.0961</v>
      </c>
      <c r="T110">
        <v>13973.18425133333</v>
      </c>
      <c r="U110">
        <v>13949.88</v>
      </c>
      <c r="V110">
        <v>-4266.984051750005</v>
      </c>
      <c r="W110">
        <v>-6.939980128861331</v>
      </c>
      <c r="X110">
        <v>-2716.334528250001</v>
      </c>
      <c r="Y110">
        <v>-19.43962435041109</v>
      </c>
      <c r="Z110">
        <v>-5.999979928142752</v>
      </c>
    </row>
    <row r="111" spans="1:26">
      <c r="A111" s="28">
        <v>45992</v>
      </c>
      <c r="B111">
        <v>2025</v>
      </c>
      <c r="C111">
        <v>12</v>
      </c>
      <c r="D111" t="s">
        <v>41</v>
      </c>
      <c r="E111" t="s">
        <v>29</v>
      </c>
      <c r="F111" t="s">
        <v>46</v>
      </c>
      <c r="G111">
        <v>11239.62</v>
      </c>
      <c r="H111">
        <v>4.363424999999999</v>
      </c>
      <c r="I111">
        <v>49043.23889849999</v>
      </c>
      <c r="J111">
        <v>20823.081993</v>
      </c>
      <c r="K111">
        <v>28220.1569055</v>
      </c>
      <c r="L111">
        <v>57.54138091063786</v>
      </c>
      <c r="M111">
        <v>21666.66666666667</v>
      </c>
      <c r="N111">
        <v>6553.490238833328</v>
      </c>
      <c r="O111">
        <v>13.3626782937327</v>
      </c>
      <c r="P111">
        <v>14038</v>
      </c>
      <c r="Q111">
        <v>97218.78999999999</v>
      </c>
      <c r="R111">
        <v>6925.4</v>
      </c>
      <c r="S111">
        <v>52700.6538</v>
      </c>
      <c r="T111">
        <v>8881.776977333331</v>
      </c>
      <c r="U111">
        <v>11957.04</v>
      </c>
      <c r="V111">
        <v>-3657.414901500008</v>
      </c>
      <c r="W111">
        <v>-6.939980128861338</v>
      </c>
      <c r="X111">
        <v>-2328.286738500003</v>
      </c>
      <c r="Y111">
        <v>-26.21419952833637</v>
      </c>
      <c r="Z111">
        <v>-5.999979928142752</v>
      </c>
    </row>
    <row r="112" spans="1:26">
      <c r="A112" s="28">
        <v>45658</v>
      </c>
      <c r="B112">
        <v>2025</v>
      </c>
      <c r="C112">
        <v>1</v>
      </c>
      <c r="D112" t="s">
        <v>28</v>
      </c>
      <c r="E112" t="s">
        <v>42</v>
      </c>
      <c r="F112" t="s">
        <v>46</v>
      </c>
      <c r="G112">
        <v>9804.34</v>
      </c>
      <c r="H112">
        <v>4.378031249999999</v>
      </c>
      <c r="I112">
        <v>42923.70690562499</v>
      </c>
      <c r="J112">
        <v>17859.585744</v>
      </c>
      <c r="K112">
        <v>25064.12116162499</v>
      </c>
      <c r="L112">
        <v>58.39225679350734</v>
      </c>
      <c r="M112">
        <v>14733.33333333333</v>
      </c>
      <c r="N112">
        <v>10330.78782829166</v>
      </c>
      <c r="O112">
        <v>24.0677904427165</v>
      </c>
      <c r="P112">
        <v>5843</v>
      </c>
      <c r="Q112">
        <v>80533.92999999999</v>
      </c>
      <c r="R112">
        <v>13783.7</v>
      </c>
      <c r="S112">
        <v>41872.79775</v>
      </c>
      <c r="T112">
        <v>9630.026624666663</v>
      </c>
      <c r="U112">
        <v>9612.120000000001</v>
      </c>
      <c r="V112">
        <v>1050.909155624991</v>
      </c>
      <c r="W112">
        <v>2.50976579568293</v>
      </c>
      <c r="X112">
        <v>700.761203624992</v>
      </c>
      <c r="Y112">
        <v>7.276835578315427</v>
      </c>
      <c r="Z112">
        <v>1.999766960878557</v>
      </c>
    </row>
    <row r="113" spans="1:26">
      <c r="A113" s="28">
        <v>45689</v>
      </c>
      <c r="B113">
        <v>2025</v>
      </c>
      <c r="C113">
        <v>2</v>
      </c>
      <c r="D113" t="s">
        <v>31</v>
      </c>
      <c r="E113" t="s">
        <v>42</v>
      </c>
      <c r="F113" t="s">
        <v>46</v>
      </c>
      <c r="G113">
        <v>11204.96</v>
      </c>
      <c r="H113">
        <v>4.378031249999999</v>
      </c>
      <c r="I113">
        <v>49055.66503499999</v>
      </c>
      <c r="J113">
        <v>20410.955136</v>
      </c>
      <c r="K113">
        <v>28644.70989899999</v>
      </c>
      <c r="L113">
        <v>58.39225679350734</v>
      </c>
      <c r="M113">
        <v>14733.33333333333</v>
      </c>
      <c r="N113">
        <v>13911.37656566666</v>
      </c>
      <c r="O113">
        <v>28.35834873656536</v>
      </c>
      <c r="P113">
        <v>5843</v>
      </c>
      <c r="Q113">
        <v>80533.92999999999</v>
      </c>
      <c r="R113">
        <v>13783.7</v>
      </c>
      <c r="S113">
        <v>47854.626</v>
      </c>
      <c r="T113">
        <v>13110.50661866666</v>
      </c>
      <c r="U113">
        <v>10985.28</v>
      </c>
      <c r="V113">
        <v>1201.039034999994</v>
      </c>
      <c r="W113">
        <v>2.509765795682938</v>
      </c>
      <c r="X113">
        <v>800.8699469999956</v>
      </c>
      <c r="Y113">
        <v>6.108611743955964</v>
      </c>
      <c r="Z113">
        <v>1.999766960878557</v>
      </c>
    </row>
    <row r="114" spans="1:26">
      <c r="A114" s="28">
        <v>45717</v>
      </c>
      <c r="B114">
        <v>2025</v>
      </c>
      <c r="C114">
        <v>3</v>
      </c>
      <c r="D114" t="s">
        <v>32</v>
      </c>
      <c r="E114" t="s">
        <v>42</v>
      </c>
      <c r="F114" t="s">
        <v>46</v>
      </c>
      <c r="G114">
        <v>12605.58</v>
      </c>
      <c r="H114">
        <v>4.378031249999999</v>
      </c>
      <c r="I114">
        <v>55187.62316437499</v>
      </c>
      <c r="J114">
        <v>22962.324528</v>
      </c>
      <c r="K114">
        <v>32225.29863637499</v>
      </c>
      <c r="L114">
        <v>58.39225679350734</v>
      </c>
      <c r="M114">
        <v>14733.33333333333</v>
      </c>
      <c r="N114">
        <v>17491.96530304165</v>
      </c>
      <c r="O114">
        <v>31.69544963178114</v>
      </c>
      <c r="P114">
        <v>5843</v>
      </c>
      <c r="Q114">
        <v>80533.92999999999</v>
      </c>
      <c r="R114">
        <v>13783.7</v>
      </c>
      <c r="S114">
        <v>53836.45425</v>
      </c>
      <c r="T114">
        <v>16590.98661266666</v>
      </c>
      <c r="U114">
        <v>12358.44</v>
      </c>
      <c r="V114">
        <v>1351.16891437499</v>
      </c>
      <c r="W114">
        <v>2.509765795682932</v>
      </c>
      <c r="X114">
        <v>900.978690374992</v>
      </c>
      <c r="Y114">
        <v>5.430531115534292</v>
      </c>
      <c r="Z114">
        <v>1.999766960878557</v>
      </c>
    </row>
    <row r="115" spans="1:26">
      <c r="A115" s="28">
        <v>45748</v>
      </c>
      <c r="B115">
        <v>2025</v>
      </c>
      <c r="C115">
        <v>4</v>
      </c>
      <c r="D115" t="s">
        <v>33</v>
      </c>
      <c r="E115" t="s">
        <v>42</v>
      </c>
      <c r="F115" t="s">
        <v>46</v>
      </c>
      <c r="G115">
        <v>14006.2</v>
      </c>
      <c r="H115">
        <v>4.378031249999999</v>
      </c>
      <c r="I115">
        <v>61319.58129374999</v>
      </c>
      <c r="J115">
        <v>25513.69392</v>
      </c>
      <c r="K115">
        <v>35805.88737374998</v>
      </c>
      <c r="L115">
        <v>58.39225679350734</v>
      </c>
      <c r="M115">
        <v>14733.33333333333</v>
      </c>
      <c r="N115">
        <v>21072.55404041665</v>
      </c>
      <c r="O115">
        <v>34.36513034795375</v>
      </c>
      <c r="P115">
        <v>5843</v>
      </c>
      <c r="Q115">
        <v>80533.92999999999</v>
      </c>
      <c r="R115">
        <v>13783.7</v>
      </c>
      <c r="S115">
        <v>59818.2825</v>
      </c>
      <c r="T115">
        <v>20071.46660666666</v>
      </c>
      <c r="U115">
        <v>13731.6</v>
      </c>
      <c r="V115">
        <v>1501.298793749986</v>
      </c>
      <c r="W115">
        <v>2.509765795682926</v>
      </c>
      <c r="X115">
        <v>1001.087433749984</v>
      </c>
      <c r="Y115">
        <v>4.987614773588478</v>
      </c>
      <c r="Z115">
        <v>1.999766960878557</v>
      </c>
    </row>
    <row r="116" spans="1:26">
      <c r="A116" s="28">
        <v>45778</v>
      </c>
      <c r="B116">
        <v>2025</v>
      </c>
      <c r="C116">
        <v>5</v>
      </c>
      <c r="D116" t="s">
        <v>34</v>
      </c>
      <c r="E116" t="s">
        <v>42</v>
      </c>
      <c r="F116" t="s">
        <v>46</v>
      </c>
      <c r="G116">
        <v>15406.82</v>
      </c>
      <c r="H116">
        <v>4.378031249999999</v>
      </c>
      <c r="I116">
        <v>67451.53942312498</v>
      </c>
      <c r="J116">
        <v>28065.063312</v>
      </c>
      <c r="K116">
        <v>39386.47611112498</v>
      </c>
      <c r="L116">
        <v>58.39225679350734</v>
      </c>
      <c r="M116">
        <v>14733.33333333333</v>
      </c>
      <c r="N116">
        <v>24653.14277779165</v>
      </c>
      <c r="O116">
        <v>36.54941457027681</v>
      </c>
      <c r="P116">
        <v>5843</v>
      </c>
      <c r="Q116">
        <v>80533.92999999999</v>
      </c>
      <c r="R116">
        <v>13783.7</v>
      </c>
      <c r="S116">
        <v>65800.11074999999</v>
      </c>
      <c r="T116">
        <v>23551.94660066665</v>
      </c>
      <c r="U116">
        <v>15104.76</v>
      </c>
      <c r="V116">
        <v>1651.428673124989</v>
      </c>
      <c r="W116">
        <v>2.509765795682934</v>
      </c>
      <c r="X116">
        <v>1101.196177124992</v>
      </c>
      <c r="Y116">
        <v>4.675605782384975</v>
      </c>
      <c r="Z116">
        <v>1.999766960878557</v>
      </c>
    </row>
    <row r="117" spans="1:26">
      <c r="A117" s="28">
        <v>45809</v>
      </c>
      <c r="B117">
        <v>2025</v>
      </c>
      <c r="C117">
        <v>6</v>
      </c>
      <c r="D117" t="s">
        <v>35</v>
      </c>
      <c r="E117" t="s">
        <v>42</v>
      </c>
      <c r="F117" t="s">
        <v>46</v>
      </c>
      <c r="G117">
        <v>14006.2</v>
      </c>
      <c r="H117">
        <v>4.378031249999999</v>
      </c>
      <c r="I117">
        <v>61319.58129374999</v>
      </c>
      <c r="J117">
        <v>25513.69392</v>
      </c>
      <c r="K117">
        <v>35805.88737374998</v>
      </c>
      <c r="L117">
        <v>58.39225679350734</v>
      </c>
      <c r="M117">
        <v>14733.33333333333</v>
      </c>
      <c r="N117">
        <v>21072.55404041665</v>
      </c>
      <c r="O117">
        <v>34.36513034795375</v>
      </c>
      <c r="P117">
        <v>5843</v>
      </c>
      <c r="Q117">
        <v>80533.92999999999</v>
      </c>
      <c r="R117">
        <v>13783.7</v>
      </c>
      <c r="S117">
        <v>59818.2825</v>
      </c>
      <c r="T117">
        <v>20071.46660666666</v>
      </c>
      <c r="U117">
        <v>13731.6</v>
      </c>
      <c r="V117">
        <v>1501.298793749986</v>
      </c>
      <c r="W117">
        <v>2.509765795682926</v>
      </c>
      <c r="X117">
        <v>1001.087433749984</v>
      </c>
      <c r="Y117">
        <v>4.987614773588478</v>
      </c>
      <c r="Z117">
        <v>1.999766960878557</v>
      </c>
    </row>
    <row r="118" spans="1:26">
      <c r="A118" s="28">
        <v>45839</v>
      </c>
      <c r="B118">
        <v>2025</v>
      </c>
      <c r="C118">
        <v>7</v>
      </c>
      <c r="D118" t="s">
        <v>36</v>
      </c>
      <c r="E118" t="s">
        <v>42</v>
      </c>
      <c r="F118" t="s">
        <v>46</v>
      </c>
      <c r="G118">
        <v>12605.58</v>
      </c>
      <c r="H118">
        <v>4.378031249999999</v>
      </c>
      <c r="I118">
        <v>55187.62316437499</v>
      </c>
      <c r="J118">
        <v>22962.324528</v>
      </c>
      <c r="K118">
        <v>32225.29863637499</v>
      </c>
      <c r="L118">
        <v>58.39225679350734</v>
      </c>
      <c r="M118">
        <v>14733.33333333333</v>
      </c>
      <c r="N118">
        <v>17491.96530304165</v>
      </c>
      <c r="O118">
        <v>31.69544963178114</v>
      </c>
      <c r="P118">
        <v>5843</v>
      </c>
      <c r="Q118">
        <v>80533.92999999999</v>
      </c>
      <c r="R118">
        <v>13783.7</v>
      </c>
      <c r="S118">
        <v>53836.45425</v>
      </c>
      <c r="T118">
        <v>16590.98661266666</v>
      </c>
      <c r="U118">
        <v>12358.44</v>
      </c>
      <c r="V118">
        <v>1351.16891437499</v>
      </c>
      <c r="W118">
        <v>2.509765795682932</v>
      </c>
      <c r="X118">
        <v>900.978690374992</v>
      </c>
      <c r="Y118">
        <v>5.430531115534292</v>
      </c>
      <c r="Z118">
        <v>1.999766960878557</v>
      </c>
    </row>
    <row r="119" spans="1:26">
      <c r="A119" s="28">
        <v>45870</v>
      </c>
      <c r="B119">
        <v>2025</v>
      </c>
      <c r="C119">
        <v>8</v>
      </c>
      <c r="D119" t="s">
        <v>37</v>
      </c>
      <c r="E119" t="s">
        <v>42</v>
      </c>
      <c r="F119" t="s">
        <v>46</v>
      </c>
      <c r="G119">
        <v>11204.96</v>
      </c>
      <c r="H119">
        <v>4.378031249999999</v>
      </c>
      <c r="I119">
        <v>49055.66503499999</v>
      </c>
      <c r="J119">
        <v>20410.955136</v>
      </c>
      <c r="K119">
        <v>28644.70989899999</v>
      </c>
      <c r="L119">
        <v>58.39225679350734</v>
      </c>
      <c r="M119">
        <v>14733.33333333333</v>
      </c>
      <c r="N119">
        <v>13911.37656566666</v>
      </c>
      <c r="O119">
        <v>28.35834873656536</v>
      </c>
      <c r="P119">
        <v>5843</v>
      </c>
      <c r="Q119">
        <v>80533.92999999999</v>
      </c>
      <c r="R119">
        <v>13783.7</v>
      </c>
      <c r="S119">
        <v>47854.626</v>
      </c>
      <c r="T119">
        <v>13110.50661866666</v>
      </c>
      <c r="U119">
        <v>10985.28</v>
      </c>
      <c r="V119">
        <v>1201.039034999994</v>
      </c>
      <c r="W119">
        <v>2.509765795682938</v>
      </c>
      <c r="X119">
        <v>800.8699469999956</v>
      </c>
      <c r="Y119">
        <v>6.108611743955964</v>
      </c>
      <c r="Z119">
        <v>1.999766960878557</v>
      </c>
    </row>
    <row r="120" spans="1:26">
      <c r="A120" s="28">
        <v>45901</v>
      </c>
      <c r="B120">
        <v>2025</v>
      </c>
      <c r="C120">
        <v>9</v>
      </c>
      <c r="D120" t="s">
        <v>38</v>
      </c>
      <c r="E120" t="s">
        <v>42</v>
      </c>
      <c r="F120" t="s">
        <v>46</v>
      </c>
      <c r="G120">
        <v>9804.34</v>
      </c>
      <c r="H120">
        <v>4.378031249999999</v>
      </c>
      <c r="I120">
        <v>42923.70690562499</v>
      </c>
      <c r="J120">
        <v>17859.585744</v>
      </c>
      <c r="K120">
        <v>25064.12116162499</v>
      </c>
      <c r="L120">
        <v>58.39225679350734</v>
      </c>
      <c r="M120">
        <v>14733.33333333333</v>
      </c>
      <c r="N120">
        <v>10330.78782829166</v>
      </c>
      <c r="O120">
        <v>24.0677904427165</v>
      </c>
      <c r="P120">
        <v>5843</v>
      </c>
      <c r="Q120">
        <v>80533.92999999999</v>
      </c>
      <c r="R120">
        <v>13783.7</v>
      </c>
      <c r="S120">
        <v>41872.79775</v>
      </c>
      <c r="T120">
        <v>9630.026624666663</v>
      </c>
      <c r="U120">
        <v>9612.120000000001</v>
      </c>
      <c r="V120">
        <v>1050.909155624991</v>
      </c>
      <c r="W120">
        <v>2.50976579568293</v>
      </c>
      <c r="X120">
        <v>700.761203624992</v>
      </c>
      <c r="Y120">
        <v>7.276835578315427</v>
      </c>
      <c r="Z120">
        <v>1.999766960878557</v>
      </c>
    </row>
    <row r="121" spans="1:26">
      <c r="A121" s="28">
        <v>45931</v>
      </c>
      <c r="B121">
        <v>2025</v>
      </c>
      <c r="C121">
        <v>10</v>
      </c>
      <c r="D121" t="s">
        <v>39</v>
      </c>
      <c r="E121" t="s">
        <v>42</v>
      </c>
      <c r="F121" t="s">
        <v>46</v>
      </c>
      <c r="G121">
        <v>9804.34</v>
      </c>
      <c r="H121">
        <v>4.378031249999999</v>
      </c>
      <c r="I121">
        <v>42923.70690562499</v>
      </c>
      <c r="J121">
        <v>17859.585744</v>
      </c>
      <c r="K121">
        <v>25064.12116162499</v>
      </c>
      <c r="L121">
        <v>58.39225679350734</v>
      </c>
      <c r="M121">
        <v>14733.33333333333</v>
      </c>
      <c r="N121">
        <v>10330.78782829166</v>
      </c>
      <c r="O121">
        <v>24.0677904427165</v>
      </c>
      <c r="P121">
        <v>5843</v>
      </c>
      <c r="Q121">
        <v>80533.92999999999</v>
      </c>
      <c r="R121">
        <v>13783.7</v>
      </c>
      <c r="S121">
        <v>41872.79775</v>
      </c>
      <c r="T121">
        <v>9630.026624666663</v>
      </c>
      <c r="U121">
        <v>9612.120000000001</v>
      </c>
      <c r="V121">
        <v>1050.909155624991</v>
      </c>
      <c r="W121">
        <v>2.50976579568293</v>
      </c>
      <c r="X121">
        <v>700.761203624992</v>
      </c>
      <c r="Y121">
        <v>7.276835578315427</v>
      </c>
      <c r="Z121">
        <v>1.999766960878557</v>
      </c>
    </row>
    <row r="122" spans="1:26">
      <c r="A122" s="28">
        <v>45962</v>
      </c>
      <c r="B122">
        <v>2025</v>
      </c>
      <c r="C122">
        <v>11</v>
      </c>
      <c r="D122" t="s">
        <v>40</v>
      </c>
      <c r="E122" t="s">
        <v>42</v>
      </c>
      <c r="F122" t="s">
        <v>46</v>
      </c>
      <c r="G122">
        <v>9804.34</v>
      </c>
      <c r="H122">
        <v>4.378031249999999</v>
      </c>
      <c r="I122">
        <v>42923.70690562499</v>
      </c>
      <c r="J122">
        <v>17859.585744</v>
      </c>
      <c r="K122">
        <v>25064.12116162499</v>
      </c>
      <c r="L122">
        <v>58.39225679350734</v>
      </c>
      <c r="M122">
        <v>14733.33333333333</v>
      </c>
      <c r="N122">
        <v>10330.78782829166</v>
      </c>
      <c r="O122">
        <v>24.0677904427165</v>
      </c>
      <c r="P122">
        <v>5843</v>
      </c>
      <c r="Q122">
        <v>80533.92999999999</v>
      </c>
      <c r="R122">
        <v>13783.7</v>
      </c>
      <c r="S122">
        <v>41872.79775</v>
      </c>
      <c r="T122">
        <v>9630.026624666663</v>
      </c>
      <c r="U122">
        <v>9612.120000000001</v>
      </c>
      <c r="V122">
        <v>1050.909155624991</v>
      </c>
      <c r="W122">
        <v>2.50976579568293</v>
      </c>
      <c r="X122">
        <v>700.761203624992</v>
      </c>
      <c r="Y122">
        <v>7.276835578315427</v>
      </c>
      <c r="Z122">
        <v>1.999766960878557</v>
      </c>
    </row>
    <row r="123" spans="1:26">
      <c r="A123" s="28">
        <v>45992</v>
      </c>
      <c r="B123">
        <v>2025</v>
      </c>
      <c r="C123">
        <v>12</v>
      </c>
      <c r="D123" t="s">
        <v>41</v>
      </c>
      <c r="E123" t="s">
        <v>42</v>
      </c>
      <c r="F123" t="s">
        <v>46</v>
      </c>
      <c r="G123">
        <v>9804.34</v>
      </c>
      <c r="H123">
        <v>4.378031249999999</v>
      </c>
      <c r="I123">
        <v>42923.70690562499</v>
      </c>
      <c r="J123">
        <v>17859.585744</v>
      </c>
      <c r="K123">
        <v>25064.12116162499</v>
      </c>
      <c r="L123">
        <v>58.39225679350734</v>
      </c>
      <c r="M123">
        <v>14733.33333333333</v>
      </c>
      <c r="N123">
        <v>10330.78782829166</v>
      </c>
      <c r="O123">
        <v>24.0677904427165</v>
      </c>
      <c r="P123">
        <v>5843</v>
      </c>
      <c r="Q123">
        <v>80533.92999999999</v>
      </c>
      <c r="R123">
        <v>13783.7</v>
      </c>
      <c r="S123">
        <v>41872.79775</v>
      </c>
      <c r="T123">
        <v>9630.026624666663</v>
      </c>
      <c r="U123">
        <v>9612.120000000001</v>
      </c>
      <c r="V123">
        <v>1050.909155624991</v>
      </c>
      <c r="W123">
        <v>2.50976579568293</v>
      </c>
      <c r="X123">
        <v>700.761203624992</v>
      </c>
      <c r="Y123">
        <v>7.276835578315427</v>
      </c>
      <c r="Z123">
        <v>1.999766960878557</v>
      </c>
    </row>
    <row r="124" spans="1:26">
      <c r="A124" s="28">
        <v>45658</v>
      </c>
      <c r="B124">
        <v>2025</v>
      </c>
      <c r="C124">
        <v>1</v>
      </c>
      <c r="D124" t="s">
        <v>28</v>
      </c>
      <c r="E124" t="s">
        <v>43</v>
      </c>
      <c r="F124" t="s">
        <v>46</v>
      </c>
      <c r="G124">
        <v>26272.05</v>
      </c>
      <c r="H124">
        <v>4.244524999999999</v>
      </c>
      <c r="I124">
        <v>111512.37302625</v>
      </c>
      <c r="J124">
        <v>46769.50341</v>
      </c>
      <c r="K124">
        <v>64742.86961624998</v>
      </c>
      <c r="L124">
        <v>58.05891118558613</v>
      </c>
      <c r="M124">
        <v>53733.33333333334</v>
      </c>
      <c r="N124">
        <v>11009.53628291665</v>
      </c>
      <c r="O124">
        <v>9.872927984704448</v>
      </c>
      <c r="P124">
        <v>28157</v>
      </c>
      <c r="Q124">
        <v>353600</v>
      </c>
      <c r="R124">
        <v>12558.1</v>
      </c>
      <c r="S124">
        <v>102229.804875</v>
      </c>
      <c r="T124">
        <v>5191.415351666663</v>
      </c>
      <c r="U124">
        <v>24325.95</v>
      </c>
      <c r="V124">
        <v>9282.568151249989</v>
      </c>
      <c r="W124">
        <v>9.080099646673601</v>
      </c>
      <c r="X124">
        <v>5818.120931249985</v>
      </c>
      <c r="Y124">
        <v>112.0719599016889</v>
      </c>
      <c r="Z124">
        <v>8.000098660072897</v>
      </c>
    </row>
    <row r="125" spans="1:26">
      <c r="A125" s="28">
        <v>45689</v>
      </c>
      <c r="B125">
        <v>2025</v>
      </c>
      <c r="C125">
        <v>2</v>
      </c>
      <c r="D125" t="s">
        <v>31</v>
      </c>
      <c r="E125" t="s">
        <v>43</v>
      </c>
      <c r="F125" t="s">
        <v>46</v>
      </c>
      <c r="G125">
        <v>31526.46</v>
      </c>
      <c r="H125">
        <v>4.244524999999999</v>
      </c>
      <c r="I125">
        <v>133814.8476315</v>
      </c>
      <c r="J125">
        <v>56123.404092</v>
      </c>
      <c r="K125">
        <v>77691.44353949996</v>
      </c>
      <c r="L125">
        <v>58.05891118558613</v>
      </c>
      <c r="M125">
        <v>53733.33333333334</v>
      </c>
      <c r="N125">
        <v>23958.11020616662</v>
      </c>
      <c r="O125">
        <v>17.90392518485138</v>
      </c>
      <c r="P125">
        <v>28157</v>
      </c>
      <c r="Q125">
        <v>353600</v>
      </c>
      <c r="R125">
        <v>12558.1</v>
      </c>
      <c r="S125">
        <v>122675.76585</v>
      </c>
      <c r="T125">
        <v>16976.36508866667</v>
      </c>
      <c r="U125">
        <v>29191.14</v>
      </c>
      <c r="V125">
        <v>11139.08178149996</v>
      </c>
      <c r="W125">
        <v>9.080099646673585</v>
      </c>
      <c r="X125">
        <v>6981.745117499959</v>
      </c>
      <c r="Y125">
        <v>41.1262663181115</v>
      </c>
      <c r="Z125">
        <v>8.000098660072874</v>
      </c>
    </row>
    <row r="126" spans="1:26">
      <c r="A126" s="28">
        <v>45717</v>
      </c>
      <c r="B126">
        <v>2025</v>
      </c>
      <c r="C126">
        <v>3</v>
      </c>
      <c r="D126" t="s">
        <v>32</v>
      </c>
      <c r="E126" t="s">
        <v>43</v>
      </c>
      <c r="F126" t="s">
        <v>46</v>
      </c>
      <c r="G126">
        <v>36780.87</v>
      </c>
      <c r="H126">
        <v>4.244524999999999</v>
      </c>
      <c r="I126">
        <v>156117.32223675</v>
      </c>
      <c r="J126">
        <v>65477.304774</v>
      </c>
      <c r="K126">
        <v>90640.01746274998</v>
      </c>
      <c r="L126">
        <v>58.05891118558613</v>
      </c>
      <c r="M126">
        <v>53733.33333333334</v>
      </c>
      <c r="N126">
        <v>36906.68412941664</v>
      </c>
      <c r="O126">
        <v>23.64035175638493</v>
      </c>
      <c r="P126">
        <v>28157</v>
      </c>
      <c r="Q126">
        <v>353600</v>
      </c>
      <c r="R126">
        <v>12558.1</v>
      </c>
      <c r="S126">
        <v>143121.726825</v>
      </c>
      <c r="T126">
        <v>28761.31482566668</v>
      </c>
      <c r="U126">
        <v>34056.33</v>
      </c>
      <c r="V126">
        <v>12995.59541174996</v>
      </c>
      <c r="W126">
        <v>9.080099646673588</v>
      </c>
      <c r="X126">
        <v>8145.369303749962</v>
      </c>
      <c r="Y126">
        <v>28.32057349645576</v>
      </c>
      <c r="Z126">
        <v>8.000098660072897</v>
      </c>
    </row>
    <row r="127" spans="1:26">
      <c r="A127" s="28">
        <v>45748</v>
      </c>
      <c r="B127">
        <v>2025</v>
      </c>
      <c r="C127">
        <v>4</v>
      </c>
      <c r="D127" t="s">
        <v>33</v>
      </c>
      <c r="E127" t="s">
        <v>43</v>
      </c>
      <c r="F127" t="s">
        <v>46</v>
      </c>
      <c r="G127">
        <v>42035.28</v>
      </c>
      <c r="H127">
        <v>4.244524999999999</v>
      </c>
      <c r="I127">
        <v>178419.796842</v>
      </c>
      <c r="J127">
        <v>74831.205456</v>
      </c>
      <c r="K127">
        <v>103588.591386</v>
      </c>
      <c r="L127">
        <v>58.05891118558613</v>
      </c>
      <c r="M127">
        <v>53733.33333333334</v>
      </c>
      <c r="N127">
        <v>49855.25805266662</v>
      </c>
      <c r="O127">
        <v>27.94267168503507</v>
      </c>
      <c r="P127">
        <v>28157</v>
      </c>
      <c r="Q127">
        <v>353600</v>
      </c>
      <c r="R127">
        <v>12558.1</v>
      </c>
      <c r="S127">
        <v>163567.6878</v>
      </c>
      <c r="T127">
        <v>40546.26456266666</v>
      </c>
      <c r="U127">
        <v>38921.52</v>
      </c>
      <c r="V127">
        <v>14852.10904199997</v>
      </c>
      <c r="W127">
        <v>9.080099646673595</v>
      </c>
      <c r="X127">
        <v>9308.993489999964</v>
      </c>
      <c r="Y127">
        <v>22.95894231048673</v>
      </c>
      <c r="Z127">
        <v>8.000098660072874</v>
      </c>
    </row>
    <row r="128" spans="1:26">
      <c r="A128" s="28">
        <v>45778</v>
      </c>
      <c r="B128">
        <v>2025</v>
      </c>
      <c r="C128">
        <v>5</v>
      </c>
      <c r="D128" t="s">
        <v>34</v>
      </c>
      <c r="E128" t="s">
        <v>43</v>
      </c>
      <c r="F128" t="s">
        <v>46</v>
      </c>
      <c r="G128">
        <v>47289.69</v>
      </c>
      <c r="H128">
        <v>4.244524999999999</v>
      </c>
      <c r="I128">
        <v>200722.27144725</v>
      </c>
      <c r="J128">
        <v>84185.10613799999</v>
      </c>
      <c r="K128">
        <v>116537.16530925</v>
      </c>
      <c r="L128">
        <v>58.05891118558614</v>
      </c>
      <c r="M128">
        <v>53733.33333333334</v>
      </c>
      <c r="N128">
        <v>62803.83197591663</v>
      </c>
      <c r="O128">
        <v>31.28892051842964</v>
      </c>
      <c r="P128">
        <v>28157</v>
      </c>
      <c r="Q128">
        <v>353600</v>
      </c>
      <c r="R128">
        <v>12558.1</v>
      </c>
      <c r="S128">
        <v>184013.648775</v>
      </c>
      <c r="T128">
        <v>52331.21429966666</v>
      </c>
      <c r="U128">
        <v>43786.71</v>
      </c>
      <c r="V128">
        <v>16708.62267224997</v>
      </c>
      <c r="W128">
        <v>9.080099646673601</v>
      </c>
      <c r="X128">
        <v>10472.61767624997</v>
      </c>
      <c r="Y128">
        <v>20.01218167092422</v>
      </c>
      <c r="Z128">
        <v>8.000098660072874</v>
      </c>
    </row>
    <row r="129" spans="1:26">
      <c r="A129" s="28">
        <v>45809</v>
      </c>
      <c r="B129">
        <v>2025</v>
      </c>
      <c r="C129">
        <v>6</v>
      </c>
      <c r="D129" t="s">
        <v>35</v>
      </c>
      <c r="E129" t="s">
        <v>43</v>
      </c>
      <c r="F129" t="s">
        <v>46</v>
      </c>
      <c r="G129">
        <v>52544.10000000001</v>
      </c>
      <c r="H129">
        <v>4.244524999999999</v>
      </c>
      <c r="I129">
        <v>223024.7460525</v>
      </c>
      <c r="J129">
        <v>93539.00682</v>
      </c>
      <c r="K129">
        <v>129485.7392325</v>
      </c>
      <c r="L129">
        <v>58.05891118558613</v>
      </c>
      <c r="M129">
        <v>53733.33333333334</v>
      </c>
      <c r="N129">
        <v>75752.40589916662</v>
      </c>
      <c r="O129">
        <v>33.96591958514528</v>
      </c>
      <c r="P129">
        <v>28157</v>
      </c>
      <c r="Q129">
        <v>353600</v>
      </c>
      <c r="R129">
        <v>12558.1</v>
      </c>
      <c r="S129">
        <v>204459.60975</v>
      </c>
      <c r="T129">
        <v>64116.16403666666</v>
      </c>
      <c r="U129">
        <v>48651.9</v>
      </c>
      <c r="V129">
        <v>18565.13630249997</v>
      </c>
      <c r="W129">
        <v>9.080099646673601</v>
      </c>
      <c r="X129">
        <v>11636.24186249996</v>
      </c>
      <c r="Y129">
        <v>18.14868689874436</v>
      </c>
      <c r="Z129">
        <v>8.000098660072897</v>
      </c>
    </row>
    <row r="130" spans="1:26">
      <c r="A130" s="28">
        <v>45839</v>
      </c>
      <c r="B130">
        <v>2025</v>
      </c>
      <c r="C130">
        <v>7</v>
      </c>
      <c r="D130" t="s">
        <v>36</v>
      </c>
      <c r="E130" t="s">
        <v>43</v>
      </c>
      <c r="F130" t="s">
        <v>46</v>
      </c>
      <c r="G130">
        <v>57798.51</v>
      </c>
      <c r="H130">
        <v>4.244524999999999</v>
      </c>
      <c r="I130">
        <v>245327.2206577499</v>
      </c>
      <c r="J130">
        <v>102892.907502</v>
      </c>
      <c r="K130">
        <v>142434.3131557499</v>
      </c>
      <c r="L130">
        <v>58.05891118558613</v>
      </c>
      <c r="M130">
        <v>53733.33333333334</v>
      </c>
      <c r="N130">
        <v>88700.97982241659</v>
      </c>
      <c r="O130">
        <v>36.15619154882172</v>
      </c>
      <c r="P130">
        <v>28157</v>
      </c>
      <c r="Q130">
        <v>353600</v>
      </c>
      <c r="R130">
        <v>12558.1</v>
      </c>
      <c r="S130">
        <v>224905.570725</v>
      </c>
      <c r="T130">
        <v>75901.11377366667</v>
      </c>
      <c r="U130">
        <v>53517.09</v>
      </c>
      <c r="V130">
        <v>20421.64993274995</v>
      </c>
      <c r="W130">
        <v>9.080099646673592</v>
      </c>
      <c r="X130">
        <v>12799.86604874992</v>
      </c>
      <c r="Y130">
        <v>16.86387117706662</v>
      </c>
      <c r="Z130">
        <v>8.000098660072874</v>
      </c>
    </row>
    <row r="131" spans="1:26">
      <c r="A131" s="28">
        <v>45870</v>
      </c>
      <c r="B131">
        <v>2025</v>
      </c>
      <c r="C131">
        <v>8</v>
      </c>
      <c r="D131" t="s">
        <v>37</v>
      </c>
      <c r="E131" t="s">
        <v>43</v>
      </c>
      <c r="F131" t="s">
        <v>46</v>
      </c>
      <c r="G131">
        <v>57798.51</v>
      </c>
      <c r="H131">
        <v>4.244524999999999</v>
      </c>
      <c r="I131">
        <v>245327.2206577499</v>
      </c>
      <c r="J131">
        <v>102892.907502</v>
      </c>
      <c r="K131">
        <v>142434.3131557499</v>
      </c>
      <c r="L131">
        <v>58.05891118558613</v>
      </c>
      <c r="M131">
        <v>53733.33333333334</v>
      </c>
      <c r="N131">
        <v>88700.97982241659</v>
      </c>
      <c r="O131">
        <v>36.15619154882172</v>
      </c>
      <c r="P131">
        <v>28157</v>
      </c>
      <c r="Q131">
        <v>353600</v>
      </c>
      <c r="R131">
        <v>12558.1</v>
      </c>
      <c r="S131">
        <v>224905.570725</v>
      </c>
      <c r="T131">
        <v>75901.11377366667</v>
      </c>
      <c r="U131">
        <v>53517.09</v>
      </c>
      <c r="V131">
        <v>20421.64993274995</v>
      </c>
      <c r="W131">
        <v>9.080099646673592</v>
      </c>
      <c r="X131">
        <v>12799.86604874992</v>
      </c>
      <c r="Y131">
        <v>16.86387117706662</v>
      </c>
      <c r="Z131">
        <v>8.000098660072874</v>
      </c>
    </row>
    <row r="132" spans="1:26">
      <c r="A132" s="28">
        <v>45901</v>
      </c>
      <c r="B132">
        <v>2025</v>
      </c>
      <c r="C132">
        <v>9</v>
      </c>
      <c r="D132" t="s">
        <v>38</v>
      </c>
      <c r="E132" t="s">
        <v>43</v>
      </c>
      <c r="F132" t="s">
        <v>46</v>
      </c>
      <c r="G132">
        <v>52544.10000000001</v>
      </c>
      <c r="H132">
        <v>4.244524999999999</v>
      </c>
      <c r="I132">
        <v>223024.7460525</v>
      </c>
      <c r="J132">
        <v>93539.00682</v>
      </c>
      <c r="K132">
        <v>129485.7392325</v>
      </c>
      <c r="L132">
        <v>58.05891118558613</v>
      </c>
      <c r="M132">
        <v>53733.33333333334</v>
      </c>
      <c r="N132">
        <v>75752.40589916662</v>
      </c>
      <c r="O132">
        <v>33.96591958514528</v>
      </c>
      <c r="P132">
        <v>28157</v>
      </c>
      <c r="Q132">
        <v>353600</v>
      </c>
      <c r="R132">
        <v>12558.1</v>
      </c>
      <c r="S132">
        <v>204459.60975</v>
      </c>
      <c r="T132">
        <v>64116.16403666666</v>
      </c>
      <c r="U132">
        <v>48651.9</v>
      </c>
      <c r="V132">
        <v>18565.13630249997</v>
      </c>
      <c r="W132">
        <v>9.080099646673601</v>
      </c>
      <c r="X132">
        <v>11636.24186249996</v>
      </c>
      <c r="Y132">
        <v>18.14868689874436</v>
      </c>
      <c r="Z132">
        <v>8.000098660072897</v>
      </c>
    </row>
    <row r="133" spans="1:26">
      <c r="A133" s="28">
        <v>45931</v>
      </c>
      <c r="B133">
        <v>2025</v>
      </c>
      <c r="C133">
        <v>10</v>
      </c>
      <c r="D133" t="s">
        <v>39</v>
      </c>
      <c r="E133" t="s">
        <v>43</v>
      </c>
      <c r="F133" t="s">
        <v>46</v>
      </c>
      <c r="G133">
        <v>47289.69</v>
      </c>
      <c r="H133">
        <v>4.244524999999999</v>
      </c>
      <c r="I133">
        <v>200722.27144725</v>
      </c>
      <c r="J133">
        <v>84185.10613799999</v>
      </c>
      <c r="K133">
        <v>116537.16530925</v>
      </c>
      <c r="L133">
        <v>58.05891118558614</v>
      </c>
      <c r="M133">
        <v>53733.33333333334</v>
      </c>
      <c r="N133">
        <v>62803.83197591663</v>
      </c>
      <c r="O133">
        <v>31.28892051842964</v>
      </c>
      <c r="P133">
        <v>28157</v>
      </c>
      <c r="Q133">
        <v>353600</v>
      </c>
      <c r="R133">
        <v>12558.1</v>
      </c>
      <c r="S133">
        <v>184013.648775</v>
      </c>
      <c r="T133">
        <v>52331.21429966666</v>
      </c>
      <c r="U133">
        <v>43786.71</v>
      </c>
      <c r="V133">
        <v>16708.62267224997</v>
      </c>
      <c r="W133">
        <v>9.080099646673601</v>
      </c>
      <c r="X133">
        <v>10472.61767624997</v>
      </c>
      <c r="Y133">
        <v>20.01218167092422</v>
      </c>
      <c r="Z133">
        <v>8.000098660072874</v>
      </c>
    </row>
    <row r="134" spans="1:26">
      <c r="A134" s="28">
        <v>45962</v>
      </c>
      <c r="B134">
        <v>2025</v>
      </c>
      <c r="C134">
        <v>11</v>
      </c>
      <c r="D134" t="s">
        <v>40</v>
      </c>
      <c r="E134" t="s">
        <v>43</v>
      </c>
      <c r="F134" t="s">
        <v>46</v>
      </c>
      <c r="G134">
        <v>42035.28</v>
      </c>
      <c r="H134">
        <v>4.244524999999999</v>
      </c>
      <c r="I134">
        <v>178419.796842</v>
      </c>
      <c r="J134">
        <v>74831.205456</v>
      </c>
      <c r="K134">
        <v>103588.591386</v>
      </c>
      <c r="L134">
        <v>58.05891118558613</v>
      </c>
      <c r="M134">
        <v>53733.33333333334</v>
      </c>
      <c r="N134">
        <v>49855.25805266662</v>
      </c>
      <c r="O134">
        <v>27.94267168503507</v>
      </c>
      <c r="P134">
        <v>28157</v>
      </c>
      <c r="Q134">
        <v>353600</v>
      </c>
      <c r="R134">
        <v>12558.1</v>
      </c>
      <c r="S134">
        <v>163567.6878</v>
      </c>
      <c r="T134">
        <v>40546.26456266666</v>
      </c>
      <c r="U134">
        <v>38921.52</v>
      </c>
      <c r="V134">
        <v>14852.10904199997</v>
      </c>
      <c r="W134">
        <v>9.080099646673595</v>
      </c>
      <c r="X134">
        <v>9308.993489999964</v>
      </c>
      <c r="Y134">
        <v>22.95894231048673</v>
      </c>
      <c r="Z134">
        <v>8.000098660072874</v>
      </c>
    </row>
    <row r="135" spans="1:26">
      <c r="A135" s="28">
        <v>45992</v>
      </c>
      <c r="B135">
        <v>2025</v>
      </c>
      <c r="C135">
        <v>12</v>
      </c>
      <c r="D135" t="s">
        <v>41</v>
      </c>
      <c r="E135" t="s">
        <v>43</v>
      </c>
      <c r="F135" t="s">
        <v>46</v>
      </c>
      <c r="G135">
        <v>31526.46</v>
      </c>
      <c r="H135">
        <v>4.244524999999999</v>
      </c>
      <c r="I135">
        <v>133814.8476315</v>
      </c>
      <c r="J135">
        <v>56123.404092</v>
      </c>
      <c r="K135">
        <v>77691.44353949996</v>
      </c>
      <c r="L135">
        <v>58.05891118558613</v>
      </c>
      <c r="M135">
        <v>53733.33333333334</v>
      </c>
      <c r="N135">
        <v>23958.11020616662</v>
      </c>
      <c r="O135">
        <v>17.90392518485138</v>
      </c>
      <c r="P135">
        <v>28157</v>
      </c>
      <c r="Q135">
        <v>353600</v>
      </c>
      <c r="R135">
        <v>12558.1</v>
      </c>
      <c r="S135">
        <v>122675.76585</v>
      </c>
      <c r="T135">
        <v>16976.36508866667</v>
      </c>
      <c r="U135">
        <v>29191.14</v>
      </c>
      <c r="V135">
        <v>11139.08178149996</v>
      </c>
      <c r="W135">
        <v>9.080099646673585</v>
      </c>
      <c r="X135">
        <v>6981.745117499959</v>
      </c>
      <c r="Y135">
        <v>41.1262663181115</v>
      </c>
      <c r="Z135">
        <v>8.000098660072874</v>
      </c>
    </row>
    <row r="136" spans="1:26">
      <c r="A136" s="28">
        <v>45658</v>
      </c>
      <c r="B136">
        <v>2025</v>
      </c>
      <c r="C136">
        <v>1</v>
      </c>
      <c r="D136" t="s">
        <v>28</v>
      </c>
      <c r="E136" t="s">
        <v>44</v>
      </c>
      <c r="F136" t="s">
        <v>46</v>
      </c>
      <c r="G136">
        <v>6902.58</v>
      </c>
      <c r="H136">
        <v>4.64043125</v>
      </c>
      <c r="I136">
        <v>32030.94793762499</v>
      </c>
      <c r="J136">
        <v>13216.715055</v>
      </c>
      <c r="K136">
        <v>18814.232882625</v>
      </c>
      <c r="L136">
        <v>58.73767120243403</v>
      </c>
      <c r="M136">
        <v>13866.66666666667</v>
      </c>
      <c r="N136">
        <v>4947.566215958328</v>
      </c>
      <c r="O136">
        <v>15.44620604295852</v>
      </c>
      <c r="P136">
        <v>5180</v>
      </c>
      <c r="Q136">
        <v>60950</v>
      </c>
      <c r="R136">
        <v>11766.4</v>
      </c>
      <c r="S136">
        <v>33187.52482499999</v>
      </c>
      <c r="T136">
        <v>5695.382273333327</v>
      </c>
      <c r="U136">
        <v>7116.06</v>
      </c>
      <c r="V136">
        <v>-1156.576887374998</v>
      </c>
      <c r="W136">
        <v>-3.484974831578145</v>
      </c>
      <c r="X136">
        <v>-747.8160573749992</v>
      </c>
      <c r="Y136">
        <v>-13.1302171037121</v>
      </c>
      <c r="Z136">
        <v>-2.999974705103658</v>
      </c>
    </row>
    <row r="137" spans="1:26">
      <c r="A137" s="28">
        <v>45689</v>
      </c>
      <c r="B137">
        <v>2025</v>
      </c>
      <c r="C137">
        <v>2</v>
      </c>
      <c r="D137" t="s">
        <v>31</v>
      </c>
      <c r="E137" t="s">
        <v>44</v>
      </c>
      <c r="F137" t="s">
        <v>46</v>
      </c>
      <c r="G137">
        <v>8053.010000000001</v>
      </c>
      <c r="H137">
        <v>4.64043125</v>
      </c>
      <c r="I137">
        <v>37369.4392605625</v>
      </c>
      <c r="J137">
        <v>15419.5008975</v>
      </c>
      <c r="K137">
        <v>21949.9383630625</v>
      </c>
      <c r="L137">
        <v>58.73767120243404</v>
      </c>
      <c r="M137">
        <v>13866.66666666667</v>
      </c>
      <c r="N137">
        <v>8083.271696395836</v>
      </c>
      <c r="O137">
        <v>21.63070106574075</v>
      </c>
      <c r="P137">
        <v>5180</v>
      </c>
      <c r="Q137">
        <v>60950</v>
      </c>
      <c r="R137">
        <v>11766.4</v>
      </c>
      <c r="S137">
        <v>38718.7789625</v>
      </c>
      <c r="T137">
        <v>8955.723763333333</v>
      </c>
      <c r="U137">
        <v>8302.070000000002</v>
      </c>
      <c r="V137">
        <v>-1349.339701937497</v>
      </c>
      <c r="W137">
        <v>-3.484974831578141</v>
      </c>
      <c r="X137">
        <v>-872.4520669374979</v>
      </c>
      <c r="Y137">
        <v>-9.741837622432092</v>
      </c>
      <c r="Z137">
        <v>-2.99997470510367</v>
      </c>
    </row>
    <row r="138" spans="1:26">
      <c r="A138" s="28">
        <v>45717</v>
      </c>
      <c r="B138">
        <v>2025</v>
      </c>
      <c r="C138">
        <v>3</v>
      </c>
      <c r="D138" t="s">
        <v>32</v>
      </c>
      <c r="E138" t="s">
        <v>44</v>
      </c>
      <c r="F138" t="s">
        <v>46</v>
      </c>
      <c r="G138">
        <v>11504.3</v>
      </c>
      <c r="H138">
        <v>4.64043125</v>
      </c>
      <c r="I138">
        <v>53384.913229375</v>
      </c>
      <c r="J138">
        <v>22027.858425</v>
      </c>
      <c r="K138">
        <v>31357.054804375</v>
      </c>
      <c r="L138">
        <v>58.73767120243404</v>
      </c>
      <c r="M138">
        <v>13866.66666666667</v>
      </c>
      <c r="N138">
        <v>17490.38813770833</v>
      </c>
      <c r="O138">
        <v>32.76279210674873</v>
      </c>
      <c r="P138">
        <v>5180</v>
      </c>
      <c r="Q138">
        <v>60950</v>
      </c>
      <c r="R138">
        <v>11766.4</v>
      </c>
      <c r="S138">
        <v>55312.541375</v>
      </c>
      <c r="T138">
        <v>18736.74823333333</v>
      </c>
      <c r="U138">
        <v>11860.1</v>
      </c>
      <c r="V138">
        <v>-1927.628145625</v>
      </c>
      <c r="W138">
        <v>-3.484974831578148</v>
      </c>
      <c r="X138">
        <v>-1246.360095625001</v>
      </c>
      <c r="Y138">
        <v>-6.651955185092804</v>
      </c>
      <c r="Z138">
        <v>-2.999974705103658</v>
      </c>
    </row>
    <row r="139" spans="1:26">
      <c r="A139" s="28">
        <v>45748</v>
      </c>
      <c r="B139">
        <v>2025</v>
      </c>
      <c r="C139">
        <v>4</v>
      </c>
      <c r="D139" t="s">
        <v>33</v>
      </c>
      <c r="E139" t="s">
        <v>44</v>
      </c>
      <c r="F139" t="s">
        <v>46</v>
      </c>
      <c r="G139">
        <v>13805.16</v>
      </c>
      <c r="H139">
        <v>4.64043125</v>
      </c>
      <c r="I139">
        <v>64061.89587524999</v>
      </c>
      <c r="J139">
        <v>26433.43011</v>
      </c>
      <c r="K139">
        <v>37628.46576524999</v>
      </c>
      <c r="L139">
        <v>58.73767120243403</v>
      </c>
      <c r="M139">
        <v>13866.66666666667</v>
      </c>
      <c r="N139">
        <v>23761.79909858332</v>
      </c>
      <c r="O139">
        <v>37.09193862269628</v>
      </c>
      <c r="P139">
        <v>5180</v>
      </c>
      <c r="Q139">
        <v>60950</v>
      </c>
      <c r="R139">
        <v>11766.4</v>
      </c>
      <c r="S139">
        <v>66375.04964999999</v>
      </c>
      <c r="T139">
        <v>25257.43121333332</v>
      </c>
      <c r="U139">
        <v>14232.12</v>
      </c>
      <c r="V139">
        <v>-2313.153774749997</v>
      </c>
      <c r="W139">
        <v>-3.484974831578145</v>
      </c>
      <c r="X139">
        <v>-1495.632114749998</v>
      </c>
      <c r="Y139">
        <v>-5.921552758542044</v>
      </c>
      <c r="Z139">
        <v>-2.999974705103658</v>
      </c>
    </row>
    <row r="140" spans="1:26">
      <c r="A140" s="28">
        <v>45778</v>
      </c>
      <c r="B140">
        <v>2025</v>
      </c>
      <c r="C140">
        <v>5</v>
      </c>
      <c r="D140" t="s">
        <v>34</v>
      </c>
      <c r="E140" t="s">
        <v>44</v>
      </c>
      <c r="F140" t="s">
        <v>46</v>
      </c>
      <c r="G140">
        <v>14955.59</v>
      </c>
      <c r="H140">
        <v>4.64043125</v>
      </c>
      <c r="I140">
        <v>69400.3871981875</v>
      </c>
      <c r="J140">
        <v>28636.2159525</v>
      </c>
      <c r="K140">
        <v>40764.1712456875</v>
      </c>
      <c r="L140">
        <v>58.73767120243404</v>
      </c>
      <c r="M140">
        <v>13866.66666666667</v>
      </c>
      <c r="N140">
        <v>26897.50457902083</v>
      </c>
      <c r="O140">
        <v>38.7569949749838</v>
      </c>
      <c r="P140">
        <v>5180</v>
      </c>
      <c r="Q140">
        <v>60950</v>
      </c>
      <c r="R140">
        <v>11766.4</v>
      </c>
      <c r="S140">
        <v>71906.3037875</v>
      </c>
      <c r="T140">
        <v>28517.77270333334</v>
      </c>
      <c r="U140">
        <v>15418.13</v>
      </c>
      <c r="V140">
        <v>-2505.916589312503</v>
      </c>
      <c r="W140">
        <v>-3.484974831578152</v>
      </c>
      <c r="X140">
        <v>-1620.268124312504</v>
      </c>
      <c r="Y140">
        <v>-5.68160824187759</v>
      </c>
      <c r="Z140">
        <v>-2.99997470510367</v>
      </c>
    </row>
    <row r="141" spans="1:26">
      <c r="A141" s="28">
        <v>45809</v>
      </c>
      <c r="B141">
        <v>2025</v>
      </c>
      <c r="C141">
        <v>6</v>
      </c>
      <c r="D141" t="s">
        <v>35</v>
      </c>
      <c r="E141" t="s">
        <v>44</v>
      </c>
      <c r="F141" t="s">
        <v>46</v>
      </c>
      <c r="G141">
        <v>12654.73</v>
      </c>
      <c r="H141">
        <v>4.64043125</v>
      </c>
      <c r="I141">
        <v>58723.4045523125</v>
      </c>
      <c r="J141">
        <v>24230.6442675</v>
      </c>
      <c r="K141">
        <v>34492.7602848125</v>
      </c>
      <c r="L141">
        <v>58.73767120243404</v>
      </c>
      <c r="M141">
        <v>13866.66666666667</v>
      </c>
      <c r="N141">
        <v>20626.09361814583</v>
      </c>
      <c r="O141">
        <v>35.12414475181103</v>
      </c>
      <c r="P141">
        <v>5180</v>
      </c>
      <c r="Q141">
        <v>60950</v>
      </c>
      <c r="R141">
        <v>11766.4</v>
      </c>
      <c r="S141">
        <v>60843.79551249999</v>
      </c>
      <c r="T141">
        <v>21997.08972333333</v>
      </c>
      <c r="U141">
        <v>13046.11</v>
      </c>
      <c r="V141">
        <v>-2120.390960187498</v>
      </c>
      <c r="W141">
        <v>-3.484974831578146</v>
      </c>
      <c r="X141">
        <v>-1370.9961051875</v>
      </c>
      <c r="Y141">
        <v>-6.232624962806879</v>
      </c>
      <c r="Z141">
        <v>-2.99997470510367</v>
      </c>
    </row>
    <row r="142" spans="1:26">
      <c r="A142" s="28">
        <v>45839</v>
      </c>
      <c r="B142">
        <v>2025</v>
      </c>
      <c r="C142">
        <v>7</v>
      </c>
      <c r="D142" t="s">
        <v>36</v>
      </c>
      <c r="E142" t="s">
        <v>44</v>
      </c>
      <c r="F142" t="s">
        <v>46</v>
      </c>
      <c r="G142">
        <v>10353.87</v>
      </c>
      <c r="H142">
        <v>4.64043125</v>
      </c>
      <c r="I142">
        <v>48046.42190643749</v>
      </c>
      <c r="J142">
        <v>19825.0725825</v>
      </c>
      <c r="K142">
        <v>28221.34932393749</v>
      </c>
      <c r="L142">
        <v>58.73767120243403</v>
      </c>
      <c r="M142">
        <v>13866.66666666667</v>
      </c>
      <c r="N142">
        <v>14354.68265727082</v>
      </c>
      <c r="O142">
        <v>29.87669442945036</v>
      </c>
      <c r="P142">
        <v>5180</v>
      </c>
      <c r="Q142">
        <v>60950</v>
      </c>
      <c r="R142">
        <v>11766.4</v>
      </c>
      <c r="S142">
        <v>49781.28723749999</v>
      </c>
      <c r="T142">
        <v>15476.40674333333</v>
      </c>
      <c r="U142">
        <v>10674.09</v>
      </c>
      <c r="V142">
        <v>-1734.865331062501</v>
      </c>
      <c r="W142">
        <v>-3.484974831578152</v>
      </c>
      <c r="X142">
        <v>-1121.724086062502</v>
      </c>
      <c r="Y142">
        <v>-7.247962040967296</v>
      </c>
      <c r="Z142">
        <v>-2.999974705103681</v>
      </c>
    </row>
    <row r="143" spans="1:26">
      <c r="A143" s="28">
        <v>45870</v>
      </c>
      <c r="B143">
        <v>2025</v>
      </c>
      <c r="C143">
        <v>8</v>
      </c>
      <c r="D143" t="s">
        <v>37</v>
      </c>
      <c r="E143" t="s">
        <v>44</v>
      </c>
      <c r="F143" t="s">
        <v>46</v>
      </c>
      <c r="G143">
        <v>8053.010000000001</v>
      </c>
      <c r="H143">
        <v>4.64043125</v>
      </c>
      <c r="I143">
        <v>37369.4392605625</v>
      </c>
      <c r="J143">
        <v>15419.5008975</v>
      </c>
      <c r="K143">
        <v>21949.9383630625</v>
      </c>
      <c r="L143">
        <v>58.73767120243404</v>
      </c>
      <c r="M143">
        <v>13866.66666666667</v>
      </c>
      <c r="N143">
        <v>8083.271696395836</v>
      </c>
      <c r="O143">
        <v>21.63070106574075</v>
      </c>
      <c r="P143">
        <v>5180</v>
      </c>
      <c r="Q143">
        <v>60950</v>
      </c>
      <c r="R143">
        <v>11766.4</v>
      </c>
      <c r="S143">
        <v>38718.7789625</v>
      </c>
      <c r="T143">
        <v>8955.723763333333</v>
      </c>
      <c r="U143">
        <v>8302.070000000002</v>
      </c>
      <c r="V143">
        <v>-1349.339701937497</v>
      </c>
      <c r="W143">
        <v>-3.484974831578141</v>
      </c>
      <c r="X143">
        <v>-872.4520669374979</v>
      </c>
      <c r="Y143">
        <v>-9.741837622432092</v>
      </c>
      <c r="Z143">
        <v>-2.99997470510367</v>
      </c>
    </row>
    <row r="144" spans="1:26">
      <c r="A144" s="28">
        <v>45901</v>
      </c>
      <c r="B144">
        <v>2025</v>
      </c>
      <c r="C144">
        <v>9</v>
      </c>
      <c r="D144" t="s">
        <v>38</v>
      </c>
      <c r="E144" t="s">
        <v>44</v>
      </c>
      <c r="F144" t="s">
        <v>46</v>
      </c>
      <c r="G144">
        <v>6902.58</v>
      </c>
      <c r="H144">
        <v>4.64043125</v>
      </c>
      <c r="I144">
        <v>32030.94793762499</v>
      </c>
      <c r="J144">
        <v>13216.715055</v>
      </c>
      <c r="K144">
        <v>18814.232882625</v>
      </c>
      <c r="L144">
        <v>58.73767120243403</v>
      </c>
      <c r="M144">
        <v>13866.66666666667</v>
      </c>
      <c r="N144">
        <v>4947.566215958328</v>
      </c>
      <c r="O144">
        <v>15.44620604295852</v>
      </c>
      <c r="P144">
        <v>5180</v>
      </c>
      <c r="Q144">
        <v>60950</v>
      </c>
      <c r="R144">
        <v>11766.4</v>
      </c>
      <c r="S144">
        <v>33187.52482499999</v>
      </c>
      <c r="T144">
        <v>5695.382273333327</v>
      </c>
      <c r="U144">
        <v>7116.06</v>
      </c>
      <c r="V144">
        <v>-1156.576887374998</v>
      </c>
      <c r="W144">
        <v>-3.484974831578145</v>
      </c>
      <c r="X144">
        <v>-747.8160573749992</v>
      </c>
      <c r="Y144">
        <v>-13.1302171037121</v>
      </c>
      <c r="Z144">
        <v>-2.999974705103658</v>
      </c>
    </row>
    <row r="145" spans="1:26">
      <c r="A145" s="28">
        <v>45931</v>
      </c>
      <c r="B145">
        <v>2025</v>
      </c>
      <c r="C145">
        <v>10</v>
      </c>
      <c r="D145" t="s">
        <v>39</v>
      </c>
      <c r="E145" t="s">
        <v>44</v>
      </c>
      <c r="F145" t="s">
        <v>46</v>
      </c>
      <c r="G145">
        <v>6902.58</v>
      </c>
      <c r="H145">
        <v>4.64043125</v>
      </c>
      <c r="I145">
        <v>32030.94793762499</v>
      </c>
      <c r="J145">
        <v>13216.715055</v>
      </c>
      <c r="K145">
        <v>18814.232882625</v>
      </c>
      <c r="L145">
        <v>58.73767120243403</v>
      </c>
      <c r="M145">
        <v>13866.66666666667</v>
      </c>
      <c r="N145">
        <v>4947.566215958328</v>
      </c>
      <c r="O145">
        <v>15.44620604295852</v>
      </c>
      <c r="P145">
        <v>5180</v>
      </c>
      <c r="Q145">
        <v>60950</v>
      </c>
      <c r="R145">
        <v>11766.4</v>
      </c>
      <c r="S145">
        <v>33187.52482499999</v>
      </c>
      <c r="T145">
        <v>5695.382273333327</v>
      </c>
      <c r="U145">
        <v>7116.06</v>
      </c>
      <c r="V145">
        <v>-1156.576887374998</v>
      </c>
      <c r="W145">
        <v>-3.484974831578145</v>
      </c>
      <c r="X145">
        <v>-747.8160573749992</v>
      </c>
      <c r="Y145">
        <v>-13.1302171037121</v>
      </c>
      <c r="Z145">
        <v>-2.999974705103658</v>
      </c>
    </row>
    <row r="146" spans="1:26">
      <c r="A146" s="28">
        <v>45962</v>
      </c>
      <c r="B146">
        <v>2025</v>
      </c>
      <c r="C146">
        <v>11</v>
      </c>
      <c r="D146" t="s">
        <v>40</v>
      </c>
      <c r="E146" t="s">
        <v>44</v>
      </c>
      <c r="F146" t="s">
        <v>46</v>
      </c>
      <c r="G146">
        <v>8053.010000000001</v>
      </c>
      <c r="H146">
        <v>4.64043125</v>
      </c>
      <c r="I146">
        <v>37369.4392605625</v>
      </c>
      <c r="J146">
        <v>15419.5008975</v>
      </c>
      <c r="K146">
        <v>21949.9383630625</v>
      </c>
      <c r="L146">
        <v>58.73767120243404</v>
      </c>
      <c r="M146">
        <v>13866.66666666667</v>
      </c>
      <c r="N146">
        <v>8083.271696395836</v>
      </c>
      <c r="O146">
        <v>21.63070106574075</v>
      </c>
      <c r="P146">
        <v>5180</v>
      </c>
      <c r="Q146">
        <v>60950</v>
      </c>
      <c r="R146">
        <v>11766.4</v>
      </c>
      <c r="S146">
        <v>38718.7789625</v>
      </c>
      <c r="T146">
        <v>8955.723763333333</v>
      </c>
      <c r="U146">
        <v>8302.070000000002</v>
      </c>
      <c r="V146">
        <v>-1349.339701937497</v>
      </c>
      <c r="W146">
        <v>-3.484974831578141</v>
      </c>
      <c r="X146">
        <v>-872.4520669374979</v>
      </c>
      <c r="Y146">
        <v>-9.741837622432092</v>
      </c>
      <c r="Z146">
        <v>-2.99997470510367</v>
      </c>
    </row>
    <row r="147" spans="1:26">
      <c r="A147" s="28">
        <v>45992</v>
      </c>
      <c r="B147">
        <v>2025</v>
      </c>
      <c r="C147">
        <v>12</v>
      </c>
      <c r="D147" t="s">
        <v>41</v>
      </c>
      <c r="E147" t="s">
        <v>44</v>
      </c>
      <c r="F147" t="s">
        <v>46</v>
      </c>
      <c r="G147">
        <v>6902.58</v>
      </c>
      <c r="H147">
        <v>4.64043125</v>
      </c>
      <c r="I147">
        <v>32030.94793762499</v>
      </c>
      <c r="J147">
        <v>13216.715055</v>
      </c>
      <c r="K147">
        <v>18814.232882625</v>
      </c>
      <c r="L147">
        <v>58.73767120243403</v>
      </c>
      <c r="M147">
        <v>13866.66666666667</v>
      </c>
      <c r="N147">
        <v>4947.566215958328</v>
      </c>
      <c r="O147">
        <v>15.44620604295852</v>
      </c>
      <c r="P147">
        <v>5180</v>
      </c>
      <c r="Q147">
        <v>60950</v>
      </c>
      <c r="R147">
        <v>11766.4</v>
      </c>
      <c r="S147">
        <v>33187.52482499999</v>
      </c>
      <c r="T147">
        <v>5695.382273333327</v>
      </c>
      <c r="U147">
        <v>7116.06</v>
      </c>
      <c r="V147">
        <v>-1156.576887374998</v>
      </c>
      <c r="W147">
        <v>-3.484974831578145</v>
      </c>
      <c r="X147">
        <v>-747.8160573749992</v>
      </c>
      <c r="Y147">
        <v>-13.1302171037121</v>
      </c>
      <c r="Z147">
        <v>-2.999974705103658</v>
      </c>
    </row>
  </sheetData>
  <hyperlinks>
    <hyperlink ref="Z1" r:id="rId1"/>
  </hyperlinks>
  <pageMargins left="0.7" right="0.7" top="0.75" bottom="0.75" header="0.3" footer="0.3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4.7109375" customWidth="1"/>
    <col min="2" max="10" width="18.7109375" customWidth="1"/>
  </cols>
  <sheetData>
    <row r="1" spans="1:10">
      <c r="A1" s="26" t="s">
        <v>47</v>
      </c>
    </row>
    <row r="3" spans="1:10">
      <c r="A3" t="s">
        <v>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</row>
    <row r="4" spans="1:10">
      <c r="A4" t="s">
        <v>53</v>
      </c>
      <c r="B4">
        <v>850000</v>
      </c>
      <c r="C4">
        <v>10</v>
      </c>
      <c r="D4">
        <v>-241346.2539043535</v>
      </c>
      <c r="E4">
        <v>-0.0608753310749376</v>
      </c>
    </row>
    <row r="5" spans="1:10">
      <c r="A5" t="s">
        <v>54</v>
      </c>
      <c r="B5">
        <v>850000</v>
      </c>
      <c r="C5">
        <v>10</v>
      </c>
      <c r="D5">
        <v>218046.0658114508</v>
      </c>
      <c r="E5">
        <v>18.03055568429623</v>
      </c>
      <c r="F5">
        <v>3.561341266072247</v>
      </c>
    </row>
    <row r="6" spans="1:10">
      <c r="A6" t="s">
        <v>55</v>
      </c>
      <c r="B6">
        <v>850000</v>
      </c>
      <c r="C6">
        <v>10</v>
      </c>
      <c r="D6">
        <v>612720.6458524317</v>
      </c>
      <c r="E6">
        <v>31.03774243025992</v>
      </c>
      <c r="F6">
        <v>2.79321385565628</v>
      </c>
    </row>
    <row r="10" spans="1:10">
      <c r="A10" t="s">
        <v>7</v>
      </c>
      <c r="B10" t="s">
        <v>3</v>
      </c>
      <c r="C10" t="s">
        <v>56</v>
      </c>
      <c r="D10" t="s">
        <v>9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</row>
    <row r="11" spans="1:10">
      <c r="A11" t="s">
        <v>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-850000</v>
      </c>
    </row>
    <row r="12" spans="1:10">
      <c r="A12" t="s">
        <v>53</v>
      </c>
      <c r="B12">
        <v>1</v>
      </c>
      <c r="C12">
        <v>75000</v>
      </c>
      <c r="D12">
        <v>4.1225</v>
      </c>
      <c r="E12">
        <v>1.89</v>
      </c>
      <c r="F12">
        <v>309187.4999999999</v>
      </c>
      <c r="G12">
        <v>141750</v>
      </c>
      <c r="H12">
        <v>80000</v>
      </c>
      <c r="I12">
        <v>0</v>
      </c>
      <c r="J12">
        <v>87437.49999999994</v>
      </c>
    </row>
    <row r="13" spans="1:10">
      <c r="A13" t="s">
        <v>53</v>
      </c>
      <c r="B13">
        <v>2</v>
      </c>
      <c r="C13">
        <v>90000</v>
      </c>
      <c r="D13">
        <v>4.20495</v>
      </c>
      <c r="E13">
        <v>1.9467</v>
      </c>
      <c r="F13">
        <v>378445.5</v>
      </c>
      <c r="G13">
        <v>175203</v>
      </c>
      <c r="H13">
        <v>82400</v>
      </c>
      <c r="I13">
        <v>0</v>
      </c>
      <c r="J13">
        <v>120842.5</v>
      </c>
    </row>
    <row r="14" spans="1:10">
      <c r="A14" t="s">
        <v>53</v>
      </c>
      <c r="B14">
        <v>3</v>
      </c>
      <c r="C14">
        <v>105000</v>
      </c>
      <c r="D14">
        <v>4.289049</v>
      </c>
      <c r="E14">
        <v>2.005101</v>
      </c>
      <c r="F14">
        <v>450350.145</v>
      </c>
      <c r="G14">
        <v>210535.605</v>
      </c>
      <c r="H14">
        <v>84872</v>
      </c>
      <c r="I14">
        <v>0</v>
      </c>
      <c r="J14">
        <v>154942.54</v>
      </c>
    </row>
    <row r="15" spans="1:10">
      <c r="A15" t="s">
        <v>53</v>
      </c>
      <c r="B15">
        <v>4</v>
      </c>
      <c r="C15">
        <v>120000</v>
      </c>
      <c r="D15">
        <v>4.37482998</v>
      </c>
      <c r="E15">
        <v>2.06525403</v>
      </c>
      <c r="F15">
        <v>524979.5976000001</v>
      </c>
      <c r="G15">
        <v>247830.4836</v>
      </c>
      <c r="H15">
        <v>87418.16</v>
      </c>
      <c r="I15">
        <v>0</v>
      </c>
      <c r="J15">
        <v>189730.9540000001</v>
      </c>
    </row>
    <row r="16" spans="1:10">
      <c r="A16" t="s">
        <v>53</v>
      </c>
      <c r="B16">
        <v>5</v>
      </c>
      <c r="C16">
        <v>135000</v>
      </c>
      <c r="D16">
        <v>4.4623265796</v>
      </c>
      <c r="E16">
        <v>2.127211650900001</v>
      </c>
      <c r="F16">
        <v>602414.088246</v>
      </c>
      <c r="G16">
        <v>287173.5728715</v>
      </c>
      <c r="H16">
        <v>90040.70480000001</v>
      </c>
      <c r="I16">
        <v>70000</v>
      </c>
      <c r="J16">
        <v>295199.8105744999</v>
      </c>
    </row>
    <row r="17" spans="1:10">
      <c r="A17" t="s">
        <v>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-850000</v>
      </c>
    </row>
    <row r="18" spans="1:10">
      <c r="A18" t="s">
        <v>54</v>
      </c>
      <c r="B18">
        <v>1</v>
      </c>
      <c r="C18">
        <v>100000</v>
      </c>
      <c r="D18">
        <v>4.25</v>
      </c>
      <c r="E18">
        <v>1.75</v>
      </c>
      <c r="F18">
        <v>425000</v>
      </c>
      <c r="G18">
        <v>175000</v>
      </c>
      <c r="H18">
        <v>80000</v>
      </c>
      <c r="I18">
        <v>0</v>
      </c>
      <c r="J18">
        <v>170000</v>
      </c>
    </row>
    <row r="19" spans="1:10">
      <c r="A19" t="s">
        <v>54</v>
      </c>
      <c r="B19">
        <v>2</v>
      </c>
      <c r="C19">
        <v>120000</v>
      </c>
      <c r="D19">
        <v>4.335</v>
      </c>
      <c r="E19">
        <v>1.8025</v>
      </c>
      <c r="F19">
        <v>520200</v>
      </c>
      <c r="G19">
        <v>216300</v>
      </c>
      <c r="H19">
        <v>82400</v>
      </c>
      <c r="I19">
        <v>0</v>
      </c>
      <c r="J19">
        <v>221500</v>
      </c>
    </row>
    <row r="20" spans="1:10">
      <c r="A20" t="s">
        <v>54</v>
      </c>
      <c r="B20">
        <v>3</v>
      </c>
      <c r="C20">
        <v>140000</v>
      </c>
      <c r="D20">
        <v>4.4217</v>
      </c>
      <c r="E20">
        <v>1.856575</v>
      </c>
      <c r="F20">
        <v>619037.9999999999</v>
      </c>
      <c r="G20">
        <v>259920.5</v>
      </c>
      <c r="H20">
        <v>84872</v>
      </c>
      <c r="I20">
        <v>0</v>
      </c>
      <c r="J20">
        <v>274245.4999999999</v>
      </c>
    </row>
    <row r="21" spans="1:10">
      <c r="A21" t="s">
        <v>54</v>
      </c>
      <c r="B21">
        <v>4</v>
      </c>
      <c r="C21">
        <v>160000</v>
      </c>
      <c r="D21">
        <v>4.510134000000001</v>
      </c>
      <c r="E21">
        <v>1.91227225</v>
      </c>
      <c r="F21">
        <v>721621.4400000002</v>
      </c>
      <c r="G21">
        <v>305963.56</v>
      </c>
      <c r="H21">
        <v>87418.16</v>
      </c>
      <c r="I21">
        <v>0</v>
      </c>
      <c r="J21">
        <v>328239.7200000002</v>
      </c>
    </row>
    <row r="22" spans="1:10">
      <c r="A22" t="s">
        <v>54</v>
      </c>
      <c r="B22">
        <v>5</v>
      </c>
      <c r="C22">
        <v>180000</v>
      </c>
      <c r="D22">
        <v>4.60033668</v>
      </c>
      <c r="E22">
        <v>1.9696404175</v>
      </c>
      <c r="F22">
        <v>828060.6024</v>
      </c>
      <c r="G22">
        <v>354535.2751500001</v>
      </c>
      <c r="H22">
        <v>90040.70480000001</v>
      </c>
      <c r="I22">
        <v>100000</v>
      </c>
      <c r="J22">
        <v>483484.6224499999</v>
      </c>
    </row>
    <row r="23" spans="1:10">
      <c r="A23" t="s">
        <v>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-850000</v>
      </c>
    </row>
    <row r="24" spans="1:10">
      <c r="A24" t="s">
        <v>55</v>
      </c>
      <c r="B24">
        <v>1</v>
      </c>
      <c r="C24">
        <v>120000</v>
      </c>
      <c r="D24">
        <v>4.3775</v>
      </c>
      <c r="E24">
        <v>1.6975</v>
      </c>
      <c r="F24">
        <v>525300</v>
      </c>
      <c r="G24">
        <v>203700</v>
      </c>
      <c r="H24">
        <v>80000</v>
      </c>
      <c r="I24">
        <v>0</v>
      </c>
      <c r="J24">
        <v>241600</v>
      </c>
    </row>
    <row r="25" spans="1:10">
      <c r="A25" t="s">
        <v>55</v>
      </c>
      <c r="B25">
        <v>2</v>
      </c>
      <c r="C25">
        <v>144000</v>
      </c>
      <c r="D25">
        <v>4.46505</v>
      </c>
      <c r="E25">
        <v>1.748425</v>
      </c>
      <c r="F25">
        <v>642967.2</v>
      </c>
      <c r="G25">
        <v>251773.2</v>
      </c>
      <c r="H25">
        <v>82400</v>
      </c>
      <c r="I25">
        <v>0</v>
      </c>
      <c r="J25">
        <v>308794</v>
      </c>
    </row>
    <row r="26" spans="1:10">
      <c r="A26" t="s">
        <v>55</v>
      </c>
      <c r="B26">
        <v>3</v>
      </c>
      <c r="C26">
        <v>168000</v>
      </c>
      <c r="D26">
        <v>4.554351</v>
      </c>
      <c r="E26">
        <v>1.800877749999999</v>
      </c>
      <c r="F26">
        <v>765130.9679999999</v>
      </c>
      <c r="G26">
        <v>302547.4619999999</v>
      </c>
      <c r="H26">
        <v>84872</v>
      </c>
      <c r="I26">
        <v>0</v>
      </c>
      <c r="J26">
        <v>377711.506</v>
      </c>
    </row>
    <row r="27" spans="1:10">
      <c r="A27" t="s">
        <v>55</v>
      </c>
      <c r="B27">
        <v>4</v>
      </c>
      <c r="C27">
        <v>192000</v>
      </c>
      <c r="D27">
        <v>4.645438020000001</v>
      </c>
      <c r="E27">
        <v>1.8549040825</v>
      </c>
      <c r="F27">
        <v>891924.0998400003</v>
      </c>
      <c r="G27">
        <v>356141.58384</v>
      </c>
      <c r="H27">
        <v>87418.16</v>
      </c>
      <c r="I27">
        <v>0</v>
      </c>
      <c r="J27">
        <v>448364.3560000003</v>
      </c>
    </row>
    <row r="28" spans="1:10">
      <c r="A28" t="s">
        <v>55</v>
      </c>
      <c r="B28">
        <v>5</v>
      </c>
      <c r="C28">
        <v>216000</v>
      </c>
      <c r="D28">
        <v>4.7383467804</v>
      </c>
      <c r="E28">
        <v>1.910551204975</v>
      </c>
      <c r="F28">
        <v>1023482.9045664</v>
      </c>
      <c r="G28">
        <v>412679.0602746001</v>
      </c>
      <c r="H28">
        <v>90040.70480000001</v>
      </c>
      <c r="I28">
        <v>120000</v>
      </c>
      <c r="J28">
        <v>640763.1394918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Monthly Performance</vt:lpstr>
      <vt:lpstr>Budget vs Forecast</vt:lpstr>
      <vt:lpstr>CAPEX</vt:lpstr>
      <vt:lpstr>Assumptions</vt:lpstr>
      <vt:lpstr>Raw_Monthly</vt:lpstr>
      <vt:lpstr>Raw_CAPEX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Nursery FP&amp;A Analytics Model</dc:title>
  <dc:subject>Financial reporting, forecasting and CAPEX decision support</dc:subject>
  <dc:creator>Portfolio Project</dc:creator>
  <dc:description>Synthetic financial model using public FAOSTAT market data as external drivers.</dc:description>
  <cp:lastModifiedBy>Portfolio Project</cp:lastModifiedBy>
  <dcterms:created xsi:type="dcterms:W3CDTF">2026-08-24T16:19:09Z</dcterms:created>
  <dcterms:modified xsi:type="dcterms:W3CDTF">2026-08-24T16:19:09Z</dcterms:modified>
</cp:coreProperties>
</file>